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G:\Meu Drive\Projetos\PyLearn\KNN\"/>
    </mc:Choice>
  </mc:AlternateContent>
  <xr:revisionPtr revIDLastSave="0" documentId="8_{0BDF01FA-C842-48CB-8AD4-F7AAF5DF7981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KNN" sheetId="1" r:id="rId1"/>
    <sheet name="L1 e L2" sheetId="2" r:id="rId2"/>
  </sheets>
  <definedNames>
    <definedName name="_xlnm._FilterDatabase" localSheetId="0" hidden="1">KNN!$Q$3:$V$108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" i="1" l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" i="1"/>
  <c r="T3" i="1"/>
  <c r="T4" i="1" s="1"/>
  <c r="S3" i="1"/>
  <c r="S4" i="1" s="1"/>
  <c r="R3" i="1"/>
  <c r="R4" i="1" s="1"/>
  <c r="Q3" i="1"/>
  <c r="Q4" i="1" s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4" i="1"/>
  <c r="AL1" i="1" l="1"/>
  <c r="R67" i="1"/>
  <c r="R51" i="1"/>
  <c r="R19" i="1"/>
  <c r="T107" i="1"/>
  <c r="Q103" i="1"/>
  <c r="R83" i="1"/>
  <c r="R107" i="1"/>
  <c r="T65" i="1"/>
  <c r="S102" i="1"/>
  <c r="T49" i="1"/>
  <c r="T97" i="1"/>
  <c r="R35" i="1"/>
  <c r="T96" i="1"/>
  <c r="T33" i="1"/>
  <c r="T81" i="1"/>
  <c r="T17" i="1"/>
  <c r="Q107" i="1"/>
  <c r="Q102" i="1"/>
  <c r="Q96" i="1"/>
  <c r="Q80" i="1"/>
  <c r="Q64" i="1"/>
  <c r="Q48" i="1"/>
  <c r="Q32" i="1"/>
  <c r="Q16" i="1"/>
  <c r="Q106" i="1"/>
  <c r="T100" i="1"/>
  <c r="S94" i="1"/>
  <c r="S78" i="1"/>
  <c r="S62" i="1"/>
  <c r="S46" i="1"/>
  <c r="S30" i="1"/>
  <c r="S14" i="1"/>
  <c r="T105" i="1"/>
  <c r="T99" i="1"/>
  <c r="R91" i="1"/>
  <c r="R75" i="1"/>
  <c r="R59" i="1"/>
  <c r="R43" i="1"/>
  <c r="R27" i="1"/>
  <c r="R11" i="1"/>
  <c r="T104" i="1"/>
  <c r="R99" i="1"/>
  <c r="T89" i="1"/>
  <c r="T73" i="1"/>
  <c r="T57" i="1"/>
  <c r="T41" i="1"/>
  <c r="T25" i="1"/>
  <c r="T9" i="1"/>
  <c r="Q104" i="1"/>
  <c r="Q99" i="1"/>
  <c r="Q88" i="1"/>
  <c r="Q72" i="1"/>
  <c r="Q56" i="1"/>
  <c r="Q40" i="1"/>
  <c r="Q24" i="1"/>
  <c r="Q8" i="1"/>
  <c r="T108" i="1"/>
  <c r="T103" i="1"/>
  <c r="Q98" i="1"/>
  <c r="S86" i="1"/>
  <c r="S70" i="1"/>
  <c r="S54" i="1"/>
  <c r="S38" i="1"/>
  <c r="S22" i="1"/>
  <c r="S6" i="1"/>
  <c r="S105" i="1"/>
  <c r="R102" i="1"/>
  <c r="S97" i="1"/>
  <c r="R94" i="1"/>
  <c r="T92" i="1"/>
  <c r="Q91" i="1"/>
  <c r="S89" i="1"/>
  <c r="R86" i="1"/>
  <c r="T84" i="1"/>
  <c r="Q83" i="1"/>
  <c r="S81" i="1"/>
  <c r="R78" i="1"/>
  <c r="T76" i="1"/>
  <c r="Q75" i="1"/>
  <c r="S73" i="1"/>
  <c r="R70" i="1"/>
  <c r="T68" i="1"/>
  <c r="Q67" i="1"/>
  <c r="S65" i="1"/>
  <c r="R62" i="1"/>
  <c r="T60" i="1"/>
  <c r="Q59" i="1"/>
  <c r="S57" i="1"/>
  <c r="R54" i="1"/>
  <c r="T52" i="1"/>
  <c r="Q51" i="1"/>
  <c r="S49" i="1"/>
  <c r="R46" i="1"/>
  <c r="T44" i="1"/>
  <c r="Q43" i="1"/>
  <c r="S41" i="1"/>
  <c r="R38" i="1"/>
  <c r="T36" i="1"/>
  <c r="Q35" i="1"/>
  <c r="S33" i="1"/>
  <c r="R30" i="1"/>
  <c r="T28" i="1"/>
  <c r="Q27" i="1"/>
  <c r="S25" i="1"/>
  <c r="R22" i="1"/>
  <c r="T20" i="1"/>
  <c r="Q19" i="1"/>
  <c r="S17" i="1"/>
  <c r="R14" i="1"/>
  <c r="T12" i="1"/>
  <c r="Q11" i="1"/>
  <c r="S9" i="1"/>
  <c r="R6" i="1"/>
  <c r="S108" i="1"/>
  <c r="R105" i="1"/>
  <c r="S100" i="1"/>
  <c r="R97" i="1"/>
  <c r="T95" i="1"/>
  <c r="Q94" i="1"/>
  <c r="S92" i="1"/>
  <c r="R89" i="1"/>
  <c r="T87" i="1"/>
  <c r="Q86" i="1"/>
  <c r="S84" i="1"/>
  <c r="R81" i="1"/>
  <c r="T79" i="1"/>
  <c r="Q78" i="1"/>
  <c r="S76" i="1"/>
  <c r="R73" i="1"/>
  <c r="T71" i="1"/>
  <c r="Q70" i="1"/>
  <c r="S68" i="1"/>
  <c r="R65" i="1"/>
  <c r="T63" i="1"/>
  <c r="Q62" i="1"/>
  <c r="S60" i="1"/>
  <c r="R57" i="1"/>
  <c r="T55" i="1"/>
  <c r="Q54" i="1"/>
  <c r="S52" i="1"/>
  <c r="R49" i="1"/>
  <c r="T47" i="1"/>
  <c r="Q46" i="1"/>
  <c r="S44" i="1"/>
  <c r="R41" i="1"/>
  <c r="T39" i="1"/>
  <c r="Q38" i="1"/>
  <c r="S36" i="1"/>
  <c r="R33" i="1"/>
  <c r="T31" i="1"/>
  <c r="Q30" i="1"/>
  <c r="S28" i="1"/>
  <c r="R25" i="1"/>
  <c r="T23" i="1"/>
  <c r="Q22" i="1"/>
  <c r="S20" i="1"/>
  <c r="R17" i="1"/>
  <c r="T15" i="1"/>
  <c r="Q14" i="1"/>
  <c r="S12" i="1"/>
  <c r="R9" i="1"/>
  <c r="T7" i="1"/>
  <c r="Q6" i="1"/>
  <c r="R108" i="1"/>
  <c r="T106" i="1"/>
  <c r="Q105" i="1"/>
  <c r="S103" i="1"/>
  <c r="R100" i="1"/>
  <c r="T98" i="1"/>
  <c r="Q97" i="1"/>
  <c r="S95" i="1"/>
  <c r="R92" i="1"/>
  <c r="T90" i="1"/>
  <c r="Q89" i="1"/>
  <c r="S87" i="1"/>
  <c r="R84" i="1"/>
  <c r="T82" i="1"/>
  <c r="Q81" i="1"/>
  <c r="S79" i="1"/>
  <c r="R76" i="1"/>
  <c r="T74" i="1"/>
  <c r="Q73" i="1"/>
  <c r="S71" i="1"/>
  <c r="R68" i="1"/>
  <c r="T66" i="1"/>
  <c r="Q65" i="1"/>
  <c r="S63" i="1"/>
  <c r="R60" i="1"/>
  <c r="T58" i="1"/>
  <c r="Q57" i="1"/>
  <c r="S55" i="1"/>
  <c r="R52" i="1"/>
  <c r="T50" i="1"/>
  <c r="Q49" i="1"/>
  <c r="S47" i="1"/>
  <c r="R44" i="1"/>
  <c r="T42" i="1"/>
  <c r="Q41" i="1"/>
  <c r="S39" i="1"/>
  <c r="R36" i="1"/>
  <c r="T34" i="1"/>
  <c r="Q33" i="1"/>
  <c r="S31" i="1"/>
  <c r="R28" i="1"/>
  <c r="T26" i="1"/>
  <c r="Q25" i="1"/>
  <c r="S23" i="1"/>
  <c r="R20" i="1"/>
  <c r="T18" i="1"/>
  <c r="Q17" i="1"/>
  <c r="S15" i="1"/>
  <c r="R12" i="1"/>
  <c r="T10" i="1"/>
  <c r="Q9" i="1"/>
  <c r="S7" i="1"/>
  <c r="Q108" i="1"/>
  <c r="S106" i="1"/>
  <c r="R103" i="1"/>
  <c r="T101" i="1"/>
  <c r="Q100" i="1"/>
  <c r="S98" i="1"/>
  <c r="R95" i="1"/>
  <c r="T93" i="1"/>
  <c r="Q92" i="1"/>
  <c r="S90" i="1"/>
  <c r="R87" i="1"/>
  <c r="T85" i="1"/>
  <c r="Q84" i="1"/>
  <c r="S82" i="1"/>
  <c r="R79" i="1"/>
  <c r="T77" i="1"/>
  <c r="Q76" i="1"/>
  <c r="S74" i="1"/>
  <c r="R71" i="1"/>
  <c r="T69" i="1"/>
  <c r="Q68" i="1"/>
  <c r="S66" i="1"/>
  <c r="R63" i="1"/>
  <c r="T61" i="1"/>
  <c r="Q60" i="1"/>
  <c r="S58" i="1"/>
  <c r="R55" i="1"/>
  <c r="T53" i="1"/>
  <c r="Q52" i="1"/>
  <c r="S50" i="1"/>
  <c r="R47" i="1"/>
  <c r="T45" i="1"/>
  <c r="Q44" i="1"/>
  <c r="S42" i="1"/>
  <c r="R39" i="1"/>
  <c r="T37" i="1"/>
  <c r="Q36" i="1"/>
  <c r="S34" i="1"/>
  <c r="R31" i="1"/>
  <c r="T29" i="1"/>
  <c r="Q28" i="1"/>
  <c r="S26" i="1"/>
  <c r="R23" i="1"/>
  <c r="T21" i="1"/>
  <c r="Q20" i="1"/>
  <c r="S18" i="1"/>
  <c r="R15" i="1"/>
  <c r="T13" i="1"/>
  <c r="Q12" i="1"/>
  <c r="S10" i="1"/>
  <c r="R7" i="1"/>
  <c r="T5" i="1"/>
  <c r="R106" i="1"/>
  <c r="S101" i="1"/>
  <c r="R98" i="1"/>
  <c r="Q95" i="1"/>
  <c r="S93" i="1"/>
  <c r="R90" i="1"/>
  <c r="T88" i="1"/>
  <c r="Q87" i="1"/>
  <c r="S85" i="1"/>
  <c r="R82" i="1"/>
  <c r="T80" i="1"/>
  <c r="Q79" i="1"/>
  <c r="S77" i="1"/>
  <c r="R74" i="1"/>
  <c r="T72" i="1"/>
  <c r="Q71" i="1"/>
  <c r="S69" i="1"/>
  <c r="R66" i="1"/>
  <c r="T64" i="1"/>
  <c r="Q63" i="1"/>
  <c r="S61" i="1"/>
  <c r="R58" i="1"/>
  <c r="T56" i="1"/>
  <c r="Q55" i="1"/>
  <c r="S53" i="1"/>
  <c r="R50" i="1"/>
  <c r="T48" i="1"/>
  <c r="Q47" i="1"/>
  <c r="S45" i="1"/>
  <c r="R42" i="1"/>
  <c r="T40" i="1"/>
  <c r="Q39" i="1"/>
  <c r="S37" i="1"/>
  <c r="R34" i="1"/>
  <c r="T32" i="1"/>
  <c r="Q31" i="1"/>
  <c r="S29" i="1"/>
  <c r="R26" i="1"/>
  <c r="T24" i="1"/>
  <c r="Q23" i="1"/>
  <c r="S21" i="1"/>
  <c r="R18" i="1"/>
  <c r="T16" i="1"/>
  <c r="Q15" i="1"/>
  <c r="S13" i="1"/>
  <c r="R10" i="1"/>
  <c r="T8" i="1"/>
  <c r="Q7" i="1"/>
  <c r="S5" i="1"/>
  <c r="S104" i="1"/>
  <c r="R101" i="1"/>
  <c r="S96" i="1"/>
  <c r="R93" i="1"/>
  <c r="T91" i="1"/>
  <c r="Q90" i="1"/>
  <c r="S88" i="1"/>
  <c r="R85" i="1"/>
  <c r="T83" i="1"/>
  <c r="Q82" i="1"/>
  <c r="S80" i="1"/>
  <c r="R77" i="1"/>
  <c r="T75" i="1"/>
  <c r="Q74" i="1"/>
  <c r="S72" i="1"/>
  <c r="R69" i="1"/>
  <c r="T67" i="1"/>
  <c r="Q66" i="1"/>
  <c r="S64" i="1"/>
  <c r="R61" i="1"/>
  <c r="T59" i="1"/>
  <c r="Q58" i="1"/>
  <c r="S56" i="1"/>
  <c r="R53" i="1"/>
  <c r="T51" i="1"/>
  <c r="Q50" i="1"/>
  <c r="S48" i="1"/>
  <c r="R45" i="1"/>
  <c r="T43" i="1"/>
  <c r="Q42" i="1"/>
  <c r="S40" i="1"/>
  <c r="R37" i="1"/>
  <c r="T35" i="1"/>
  <c r="Q34" i="1"/>
  <c r="S32" i="1"/>
  <c r="R29" i="1"/>
  <c r="T27" i="1"/>
  <c r="Q26" i="1"/>
  <c r="S24" i="1"/>
  <c r="R21" i="1"/>
  <c r="T19" i="1"/>
  <c r="Q18" i="1"/>
  <c r="S16" i="1"/>
  <c r="R13" i="1"/>
  <c r="T11" i="1"/>
  <c r="Q10" i="1"/>
  <c r="S8" i="1"/>
  <c r="R5" i="1"/>
  <c r="S107" i="1"/>
  <c r="R104" i="1"/>
  <c r="T102" i="1"/>
  <c r="Q101" i="1"/>
  <c r="S99" i="1"/>
  <c r="R96" i="1"/>
  <c r="T94" i="1"/>
  <c r="Q93" i="1"/>
  <c r="S91" i="1"/>
  <c r="R88" i="1"/>
  <c r="T86" i="1"/>
  <c r="Q85" i="1"/>
  <c r="S83" i="1"/>
  <c r="R80" i="1"/>
  <c r="T78" i="1"/>
  <c r="Q77" i="1"/>
  <c r="S75" i="1"/>
  <c r="R72" i="1"/>
  <c r="T70" i="1"/>
  <c r="Q69" i="1"/>
  <c r="S67" i="1"/>
  <c r="R64" i="1"/>
  <c r="T62" i="1"/>
  <c r="Q61" i="1"/>
  <c r="S59" i="1"/>
  <c r="R56" i="1"/>
  <c r="T54" i="1"/>
  <c r="Q53" i="1"/>
  <c r="S51" i="1"/>
  <c r="R48" i="1"/>
  <c r="T46" i="1"/>
  <c r="Q45" i="1"/>
  <c r="S43" i="1"/>
  <c r="R40" i="1"/>
  <c r="T38" i="1"/>
  <c r="Q37" i="1"/>
  <c r="S35" i="1"/>
  <c r="R32" i="1"/>
  <c r="T30" i="1"/>
  <c r="Q29" i="1"/>
  <c r="S27" i="1"/>
  <c r="R24" i="1"/>
  <c r="T22" i="1"/>
  <c r="Q21" i="1"/>
  <c r="S19" i="1"/>
  <c r="R16" i="1"/>
  <c r="T14" i="1"/>
  <c r="Q13" i="1"/>
  <c r="S11" i="1"/>
  <c r="R8" i="1"/>
  <c r="T6" i="1"/>
  <c r="Q5" i="1"/>
  <c r="U4" i="1"/>
  <c r="AD42" i="1"/>
  <c r="AO42" i="1" s="1"/>
  <c r="AD17" i="1"/>
  <c r="AO17" i="1" s="1"/>
  <c r="AD25" i="1"/>
  <c r="AO25" i="1" s="1"/>
  <c r="AD33" i="1"/>
  <c r="AO33" i="1" s="1"/>
  <c r="AD41" i="1"/>
  <c r="AO41" i="1" s="1"/>
  <c r="AD18" i="1"/>
  <c r="AO18" i="1" s="1"/>
  <c r="AD11" i="1"/>
  <c r="AO11" i="1" s="1"/>
  <c r="AD19" i="1"/>
  <c r="AO19" i="1" s="1"/>
  <c r="AD27" i="1"/>
  <c r="AO27" i="1" s="1"/>
  <c r="AD35" i="1"/>
  <c r="AO35" i="1" s="1"/>
  <c r="AD43" i="1"/>
  <c r="AO43" i="1" s="1"/>
  <c r="AD12" i="1"/>
  <c r="AO12" i="1" s="1"/>
  <c r="AD20" i="1"/>
  <c r="AO20" i="1" s="1"/>
  <c r="AD28" i="1"/>
  <c r="AO28" i="1" s="1"/>
  <c r="AD36" i="1"/>
  <c r="AO36" i="1" s="1"/>
  <c r="AD44" i="1"/>
  <c r="AO44" i="1" s="1"/>
  <c r="AD13" i="1"/>
  <c r="AO13" i="1" s="1"/>
  <c r="AD21" i="1"/>
  <c r="AO21" i="1" s="1"/>
  <c r="AD29" i="1"/>
  <c r="AO29" i="1" s="1"/>
  <c r="AD37" i="1"/>
  <c r="AO37" i="1" s="1"/>
  <c r="AD45" i="1"/>
  <c r="AO45" i="1" s="1"/>
  <c r="AD26" i="1"/>
  <c r="AO26" i="1" s="1"/>
  <c r="AD14" i="1"/>
  <c r="AO14" i="1" s="1"/>
  <c r="AD22" i="1"/>
  <c r="AO22" i="1" s="1"/>
  <c r="AD30" i="1"/>
  <c r="AO30" i="1" s="1"/>
  <c r="AD38" i="1"/>
  <c r="AO38" i="1" s="1"/>
  <c r="AD46" i="1"/>
  <c r="AO46" i="1" s="1"/>
  <c r="AD15" i="1"/>
  <c r="AO15" i="1" s="1"/>
  <c r="AD23" i="1"/>
  <c r="AO23" i="1" s="1"/>
  <c r="AD31" i="1"/>
  <c r="AO31" i="1" s="1"/>
  <c r="AD39" i="1"/>
  <c r="AO39" i="1" s="1"/>
  <c r="AD47" i="1"/>
  <c r="AO47" i="1" s="1"/>
  <c r="AD16" i="1"/>
  <c r="AO16" i="1" s="1"/>
  <c r="AD24" i="1"/>
  <c r="AO24" i="1" s="1"/>
  <c r="AD32" i="1"/>
  <c r="AO32" i="1" s="1"/>
  <c r="AD40" i="1"/>
  <c r="AO40" i="1" s="1"/>
  <c r="AD48" i="1"/>
  <c r="AO48" i="1" s="1"/>
  <c r="O15" i="1"/>
  <c r="O8" i="1"/>
  <c r="O7" i="1"/>
  <c r="O5" i="1"/>
  <c r="O95" i="1"/>
  <c r="O63" i="1"/>
  <c r="O23" i="1"/>
  <c r="O102" i="1"/>
  <c r="O94" i="1"/>
  <c r="O86" i="1"/>
  <c r="O78" i="1"/>
  <c r="O70" i="1"/>
  <c r="O62" i="1"/>
  <c r="O54" i="1"/>
  <c r="O46" i="1"/>
  <c r="O38" i="1"/>
  <c r="O30" i="1"/>
  <c r="O22" i="1"/>
  <c r="O14" i="1"/>
  <c r="O6" i="1"/>
  <c r="O79" i="1"/>
  <c r="O4" i="1"/>
  <c r="O101" i="1"/>
  <c r="O93" i="1"/>
  <c r="O85" i="1"/>
  <c r="O77" i="1"/>
  <c r="O69" i="1"/>
  <c r="O61" i="1"/>
  <c r="O53" i="1"/>
  <c r="O45" i="1"/>
  <c r="O37" i="1"/>
  <c r="O29" i="1"/>
  <c r="O21" i="1"/>
  <c r="O13" i="1"/>
  <c r="O103" i="1"/>
  <c r="O47" i="1"/>
  <c r="O108" i="1"/>
  <c r="O100" i="1"/>
  <c r="O92" i="1"/>
  <c r="O84" i="1"/>
  <c r="O76" i="1"/>
  <c r="O68" i="1"/>
  <c r="O60" i="1"/>
  <c r="O52" i="1"/>
  <c r="O44" i="1"/>
  <c r="O36" i="1"/>
  <c r="O28" i="1"/>
  <c r="O20" i="1"/>
  <c r="O12" i="1"/>
  <c r="O87" i="1"/>
  <c r="O31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71" i="1"/>
  <c r="O39" i="1"/>
  <c r="O106" i="1"/>
  <c r="O98" i="1"/>
  <c r="O90" i="1"/>
  <c r="O82" i="1"/>
  <c r="O74" i="1"/>
  <c r="O66" i="1"/>
  <c r="O58" i="1"/>
  <c r="O50" i="1"/>
  <c r="O42" i="1"/>
  <c r="O34" i="1"/>
  <c r="O26" i="1"/>
  <c r="O18" i="1"/>
  <c r="O10" i="1"/>
  <c r="O55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04" i="1"/>
  <c r="O96" i="1"/>
  <c r="O88" i="1"/>
  <c r="O80" i="1"/>
  <c r="O72" i="1"/>
  <c r="O64" i="1"/>
  <c r="O56" i="1"/>
  <c r="O48" i="1"/>
  <c r="O40" i="1"/>
  <c r="O32" i="1"/>
  <c r="O24" i="1"/>
  <c r="O16" i="1"/>
  <c r="D7" i="2"/>
  <c r="D6" i="2"/>
  <c r="D5" i="2"/>
  <c r="D4" i="2"/>
  <c r="D3" i="2"/>
  <c r="D9" i="2"/>
  <c r="D10" i="2"/>
  <c r="D11" i="2"/>
  <c r="D12" i="2"/>
  <c r="D13" i="2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" i="1"/>
  <c r="U5" i="1" l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AK1" i="1"/>
  <c r="X4" i="1" l="1"/>
  <c r="Y4" i="1" l="1"/>
  <c r="Z4" i="1" s="1"/>
  <c r="X5" i="1"/>
  <c r="Y5" i="1" l="1"/>
  <c r="Z5" i="1" s="1"/>
  <c r="X6" i="1"/>
  <c r="Y6" i="1" l="1"/>
  <c r="Z6" i="1" s="1"/>
  <c r="AD9" i="1"/>
  <c r="AO9" i="1" s="1"/>
  <c r="AD8" i="1"/>
  <c r="AO8" i="1" s="1"/>
  <c r="AA4" i="1" l="1"/>
  <c r="AA5" i="1"/>
  <c r="AD4" i="1" s="1"/>
  <c r="AO4" i="1" s="1"/>
  <c r="AA6" i="1"/>
  <c r="AD7" i="1" s="1"/>
  <c r="AO7" i="1" s="1"/>
  <c r="AD10" i="1"/>
  <c r="AO10" i="1" s="1"/>
  <c r="AD6" i="1" l="1"/>
  <c r="AO6" i="1" s="1"/>
  <c r="AD34" i="1"/>
  <c r="AO34" i="1" s="1"/>
  <c r="AD5" i="1"/>
  <c r="AO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tc={78342C4D-7125-442D-B78F-4EA4877A3267}</author>
    <author>tc={58ED32C9-1248-4167-86F6-43F2021B641A}</author>
    <author>tc={17EA43D3-D256-4E63-95BC-E9ABF305B29C}</author>
    <author>tc={5EC3B4C9-3DE2-4D9C-B0E5-CCE33FB13050}</author>
    <author>tc={46876E48-BEA7-4D96-83BA-9E88E026DDCE}</author>
    <author>tc={C8954AB6-83C7-4321-9C06-F5A175258183}</author>
  </authors>
  <commentList>
    <comment ref="N1" authorId="0" shapeId="0" xr:uid="{78342C4D-7125-442D-B78F-4EA4877A32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x_train, x_test, y_train, y_test = train_test_split(x, y, test_size=0.3, random_state=42, stratify=y)</t>
      </text>
    </comment>
    <comment ref="AJ1" authorId="1" shapeId="0" xr:uid="{58ED32C9-1248-4167-86F6-43F2021B641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x_train, x_test, y_train, y_test = train_test_split(x, y, test_size=0.3, random_state=42, stratify=y)</t>
      </text>
    </comment>
    <comment ref="AA2" authorId="2" shapeId="0" xr:uid="{17EA43D3-D256-4E63-95BC-E9ABF305B29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Conta o número do 0 até o maior número do array</t>
      </text>
    </comment>
    <comment ref="AD2" authorId="3" shapeId="0" xr:uid="{5EC3B4C9-3DE2-4D9C-B0E5-CCE33FB1305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Pega o número que mais se repetiu do array</t>
      </text>
    </comment>
    <comment ref="AK2" authorId="4" shapeId="0" xr:uid="{46876E48-BEA7-4D96-83BA-9E88E026DD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L1 = Distância de Manhattan</t>
      </text>
    </comment>
    <comment ref="AL2" authorId="5" shapeId="0" xr:uid="{C8954AB6-83C7-4321-9C06-F5A17525818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L2 = Distância Eucladiana</t>
      </text>
    </comment>
  </commentList>
</comments>
</file>

<file path=xl/sharedStrings.xml><?xml version="1.0" encoding="utf-8"?>
<sst xmlns="http://schemas.openxmlformats.org/spreadsheetml/2006/main" count="216" uniqueCount="37">
  <si>
    <t>sepal
length
(cm)</t>
  </si>
  <si>
    <t>sepal
width
(cm)</t>
  </si>
  <si>
    <t>petal
length
(cm)</t>
  </si>
  <si>
    <t>petal
width
(cm)</t>
  </si>
  <si>
    <t>Index</t>
  </si>
  <si>
    <t>setosa</t>
  </si>
  <si>
    <t>versicolor</t>
  </si>
  <si>
    <t>virginica</t>
  </si>
  <si>
    <t>Class
Name</t>
  </si>
  <si>
    <t>Class
Code</t>
  </si>
  <si>
    <t>k=3</t>
  </si>
  <si>
    <t>Input = Dataset Iris</t>
  </si>
  <si>
    <t>Dataset de Treino</t>
  </si>
  <si>
    <t>Dataset de Teste</t>
  </si>
  <si>
    <t>np.bincount</t>
  </si>
  <si>
    <t>np.argsort</t>
  </si>
  <si>
    <t>np.argmax</t>
  </si>
  <si>
    <t>L1</t>
  </si>
  <si>
    <t xml:space="preserve">   k  dist. func.   acurácia</t>
  </si>
  <si>
    <t>0  1  l1_distance  91.111111</t>
  </si>
  <si>
    <t>1  3  l1_distance  93.333333</t>
  </si>
  <si>
    <t>2  5  l1_distance  93.333333</t>
  </si>
  <si>
    <t>3  7  l1_distance  93.333333</t>
  </si>
  <si>
    <t>4  9  l1_distance  93.333333</t>
  </si>
  <si>
    <t>5  1  l2_distance  93.333333</t>
  </si>
  <si>
    <t>6  3  l2_distance  95.555556</t>
  </si>
  <si>
    <t>7  5  l2_distance  97.777778</t>
  </si>
  <si>
    <t>8  7  l2_distance  95.555556</t>
  </si>
  <si>
    <t>9  9  l2_distance  95.555556</t>
  </si>
  <si>
    <t>Pacote: Scikit-learn</t>
  </si>
  <si>
    <t>Algorítimo Próprio</t>
  </si>
  <si>
    <t>manhattan_distance</t>
  </si>
  <si>
    <t>euclidean_distance</t>
  </si>
  <si>
    <t>As 3 menores distâncias</t>
  </si>
  <si>
    <t>Indíce Dataset de Teste =&gt;</t>
  </si>
  <si>
    <t>Result L1
(k=3)</t>
  </si>
  <si>
    <t>Result L2
(k=3)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</si>
</sst>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%"/>
    <numFmt numFmtId="167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"/>
      <color theme="0"/>
      <name val="Consolas"/>
      <family val="3"/>
    </font>
    <font>
      <sz val="11"/>
      <color rgb="FF0070C0"/>
      <name val="Calibri"/>
      <family val="2"/>
      <scheme val="minor"/>
    </font>
    <font>
      <sz val="9"/>
      <color rgb="FF1D1F22"/>
      <name val="Arial"/>
      <family val="2"/>
    </font>
    <font>
      <b/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0" fontId="18" fillId="33" borderId="0" xfId="0" applyFont="1" applyFill="1" applyAlignment="1">
      <alignment horizontal="center" vertical="center" wrapText="1"/>
    </xf>
    <xf numFmtId="0" fontId="18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9" fillId="0" borderId="0" xfId="0" applyFont="1"/>
    <xf numFmtId="0" fontId="13" fillId="33" borderId="0" xfId="0" applyFont="1" applyFill="1" applyAlignment="1">
      <alignment horizontal="center"/>
    </xf>
    <xf numFmtId="0" fontId="20" fillId="0" borderId="0" xfId="0" applyFont="1"/>
    <xf numFmtId="0" fontId="13" fillId="33" borderId="0" xfId="0" applyFont="1" applyFill="1" applyAlignment="1">
      <alignment horizontal="centerContinuous" vertical="center"/>
    </xf>
    <xf numFmtId="0" fontId="21" fillId="33" borderId="0" xfId="0" applyFont="1" applyFill="1" applyAlignment="1">
      <alignment horizontal="center" vertical="center"/>
    </xf>
    <xf numFmtId="0" fontId="16" fillId="36" borderId="11" xfId="0" applyFont="1" applyFill="1" applyBorder="1" applyAlignment="1">
      <alignment vertical="center"/>
    </xf>
    <xf numFmtId="164" fontId="16" fillId="36" borderId="12" xfId="42" applyFont="1" applyFill="1" applyBorder="1" applyAlignment="1">
      <alignment horizontal="right" vertical="center"/>
    </xf>
    <xf numFmtId="0" fontId="16" fillId="35" borderId="13" xfId="0" applyFont="1" applyFill="1" applyBorder="1" applyAlignment="1">
      <alignment horizontal="center" vertical="center"/>
    </xf>
    <xf numFmtId="164" fontId="0" fillId="0" borderId="0" xfId="42" applyFont="1" applyAlignment="1">
      <alignment vertical="center"/>
    </xf>
    <xf numFmtId="164" fontId="22" fillId="36" borderId="12" xfId="42" applyFont="1" applyFill="1" applyBorder="1" applyAlignment="1">
      <alignment horizontal="right" vertical="center"/>
    </xf>
    <xf numFmtId="164" fontId="16" fillId="36" borderId="11" xfId="42" applyFont="1" applyFill="1" applyBorder="1" applyAlignment="1">
      <alignment horizontal="right" vertical="center"/>
    </xf>
    <xf numFmtId="165" fontId="16" fillId="34" borderId="0" xfId="0" applyNumberFormat="1" applyFon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167" fontId="0" fillId="0" borderId="0" xfId="42" applyNumberFormat="1" applyFont="1" applyAlignment="1">
      <alignment horizontal="center" vertical="center"/>
    </xf>
    <xf numFmtId="166" fontId="16" fillId="35" borderId="10" xfId="43" applyNumberFormat="1" applyFont="1" applyFill="1" applyBorder="1" applyAlignment="1">
      <alignment horizontal="center" vertical="center"/>
    </xf>
    <xf numFmtId="165" fontId="16" fillId="35" borderId="0" xfId="0" applyNumberFormat="1" applyFont="1" applyFill="1" applyAlignment="1">
      <alignment horizontal="center" vertical="center"/>
    </xf>
    <xf numFmtId="0" fontId="18" fillId="33" borderId="0" xfId="0" applyFont="1" applyFill="1" applyAlignment="1">
      <alignment horizontal="center" vertical="center" wrapText="1"/>
    </xf>
    <xf numFmtId="0" fontId="18" fillId="33" borderId="0" xfId="0" applyFont="1" applyFill="1" applyAlignment="1">
      <alignment horizontal="center" vertical="center"/>
    </xf>
    <xf numFmtId="165" fontId="18" fillId="33" borderId="0" xfId="0" applyNumberFormat="1" applyFont="1" applyFill="1" applyAlignment="1">
      <alignment horizontal="center" vertical="center" wrapText="1"/>
    </xf>
    <xf numFmtId="165" fontId="18" fillId="33" borderId="0" xfId="0" applyNumberFormat="1" applyFont="1" applyFill="1" applyAlignment="1">
      <alignment horizontal="center" vertical="center"/>
    </xf>
    <xf numFmtId="0" fontId="13" fillId="33" borderId="0" xfId="0" applyFont="1" applyFill="1" applyAlignment="1">
      <alignment horizontal="center" vertical="center" wrapText="1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Porcentagem" xfId="43" builtinId="5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2">
    <dxf>
      <font>
        <b/>
        <i val="0"/>
        <color rgb="FF0000FF"/>
      </font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celo Horita" id="{A75B4293-8D1D-48A8-8351-9FA58F80458B}" userId="12374f89fc0c836b" providerId="Windows Liv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19-11-25T00:00:44.60" personId="{A75B4293-8D1D-48A8-8351-9FA58F80458B}" id="{78342C4D-7125-442D-B78F-4EA4877A3267}">
    <text>x_train, x_test, y_train, y_test = train_test_split(x, y, test_size=0.3, random_state=42, stratify=y)</text>
  </threadedComment>
  <threadedComment ref="AJ1" dT="2019-11-25T00:00:44.60" personId="{A75B4293-8D1D-48A8-8351-9FA58F80458B}" id="{58ED32C9-1248-4167-86F6-43F2021B641A}">
    <text>x_train, x_test, y_train, y_test = train_test_split(x, y, test_size=0.3, random_state=42, stratify=y)</text>
  </threadedComment>
  <threadedComment ref="AA2" dT="2019-11-25T03:59:55.74" personId="{A75B4293-8D1D-48A8-8351-9FA58F80458B}" id="{17EA43D3-D256-4E63-95BC-E9ABF305B29C}">
    <text>Conta o número do 0 até o maior número do array</text>
  </threadedComment>
  <threadedComment ref="AD2" dT="2019-11-25T03:59:55.74" personId="{A75B4293-8D1D-48A8-8351-9FA58F80458B}" id="{5EC3B4C9-3DE2-4D9C-B0E5-CCE33FB13050}">
    <text>Pega o número que mais se repetiu do array</text>
  </threadedComment>
  <threadedComment ref="AK2" dT="2019-12-02T00:27:39.02" personId="{A75B4293-8D1D-48A8-8351-9FA58F80458B}" id="{46876E48-BEA7-4D96-83BA-9E88E026DDCE}">
    <text>L1 = Distância de Manhattan</text>
  </threadedComment>
  <threadedComment ref="AL2" dT="2019-12-02T00:27:46.22" personId="{A75B4293-8D1D-48A8-8351-9FA58F80458B}" id="{C8954AB6-83C7-4321-9C06-F5A175258183}">
    <text>L2 = Distância Eucladiana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153"/>
  <sheetViews>
    <sheetView showGridLines="0" tabSelected="1" zoomScale="90" zoomScaleNormal="9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P4" sqref="P4"/>
    </sheetView>
  </sheetViews>
  <sheetFormatPr defaultRowHeight="14.4" x14ac:dyDescent="0.3"/>
  <cols>
    <col min="1" max="1" width="5.77734375" style="2" customWidth="1"/>
    <col min="2" max="2" width="10.77734375" style="2" hidden="1" customWidth="1"/>
    <col min="3" max="7" width="5.77734375" style="3" customWidth="1"/>
    <col min="8" max="8" width="9" style="2" bestFit="1" customWidth="1"/>
    <col min="9" max="9" width="1.77734375" style="1" customWidth="1"/>
    <col min="10" max="10" width="3.77734375" style="2" customWidth="1"/>
    <col min="11" max="14" width="5.77734375" style="2" customWidth="1"/>
    <col min="15" max="15" width="4.88671875" style="2" customWidth="1"/>
    <col min="16" max="16" width="1.77734375" style="1" customWidth="1"/>
    <col min="17" max="20" width="4.77734375" style="2" customWidth="1"/>
    <col min="21" max="21" width="5.77734375" style="4" customWidth="1"/>
    <col min="22" max="22" width="4.109375" style="1" bestFit="1" customWidth="1"/>
    <col min="23" max="23" width="1.77734375" style="1" customWidth="1"/>
    <col min="24" max="25" width="4.77734375" style="1" customWidth="1"/>
    <col min="26" max="28" width="3.77734375" style="1" customWidth="1"/>
    <col min="29" max="29" width="1.77734375" style="1" customWidth="1"/>
    <col min="30" max="30" width="6.77734375" style="1" customWidth="1"/>
    <col min="31" max="31" width="4.6640625" style="1" bestFit="1" customWidth="1"/>
    <col min="32" max="36" width="5.77734375" style="1" customWidth="1"/>
    <col min="37" max="38" width="8.77734375" style="1" customWidth="1"/>
    <col min="39" max="40" width="2.77734375" style="1" hidden="1" customWidth="1"/>
    <col min="41" max="41" width="8.88671875" style="1"/>
    <col min="42" max="42" width="1.77734375" style="1" customWidth="1"/>
    <col min="43" max="16384" width="8.88671875" style="1"/>
  </cols>
  <sheetData>
    <row r="1" spans="1:41" ht="15" thickBot="1" x14ac:dyDescent="0.35">
      <c r="A1" s="12" t="s">
        <v>11</v>
      </c>
      <c r="B1" s="12"/>
      <c r="C1" s="12"/>
      <c r="D1" s="12"/>
      <c r="E1" s="12"/>
      <c r="F1" s="12"/>
      <c r="G1" s="12"/>
      <c r="H1" s="12"/>
      <c r="J1" s="12" t="s">
        <v>12</v>
      </c>
      <c r="K1" s="12"/>
      <c r="L1" s="12"/>
      <c r="M1" s="12"/>
      <c r="N1" s="12"/>
      <c r="O1" s="12"/>
      <c r="X1" s="12" t="s">
        <v>10</v>
      </c>
      <c r="Y1" s="12"/>
      <c r="Z1" s="12"/>
      <c r="AA1" s="12"/>
      <c r="AB1" s="12"/>
      <c r="AE1" s="12" t="s">
        <v>13</v>
      </c>
      <c r="AF1" s="12"/>
      <c r="AG1" s="12"/>
      <c r="AH1" s="12"/>
      <c r="AI1" s="12"/>
      <c r="AJ1" s="12"/>
      <c r="AK1" s="23">
        <f>AVERAGE(AM4:AM48)</f>
        <v>0.93333333333333335</v>
      </c>
      <c r="AL1" s="23">
        <f>AVERAGE(AN4:AN48)</f>
        <v>0.9555555555555556</v>
      </c>
    </row>
    <row r="2" spans="1:41" ht="15" customHeight="1" thickBot="1" x14ac:dyDescent="0.35">
      <c r="A2" s="25" t="s">
        <v>4</v>
      </c>
      <c r="B2" s="6"/>
      <c r="C2" s="27" t="s">
        <v>0</v>
      </c>
      <c r="D2" s="27" t="s">
        <v>1</v>
      </c>
      <c r="E2" s="27" t="s">
        <v>2</v>
      </c>
      <c r="F2" s="27" t="s">
        <v>3</v>
      </c>
      <c r="G2" s="25" t="s">
        <v>9</v>
      </c>
      <c r="H2" s="25" t="s">
        <v>8</v>
      </c>
      <c r="J2" s="25" t="s">
        <v>4</v>
      </c>
      <c r="K2" s="25" t="s">
        <v>0</v>
      </c>
      <c r="L2" s="25" t="s">
        <v>1</v>
      </c>
      <c r="M2" s="25" t="s">
        <v>2</v>
      </c>
      <c r="N2" s="25" t="s">
        <v>3</v>
      </c>
      <c r="O2" s="25" t="s">
        <v>9</v>
      </c>
      <c r="Q2" s="19"/>
      <c r="R2" s="15"/>
      <c r="S2" s="14"/>
      <c r="T2" s="15"/>
      <c r="U2" s="18" t="s">
        <v>34</v>
      </c>
      <c r="V2" s="16">
        <v>30</v>
      </c>
      <c r="X2" s="12" t="s">
        <v>15</v>
      </c>
      <c r="Y2" s="12"/>
      <c r="Z2" s="12" t="s">
        <v>14</v>
      </c>
      <c r="AA2" s="12"/>
      <c r="AB2" s="12"/>
      <c r="AD2" s="29" t="s">
        <v>16</v>
      </c>
      <c r="AE2" s="25" t="s">
        <v>4</v>
      </c>
      <c r="AF2" s="25" t="s">
        <v>0</v>
      </c>
      <c r="AG2" s="25" t="s">
        <v>1</v>
      </c>
      <c r="AH2" s="25" t="s">
        <v>2</v>
      </c>
      <c r="AI2" s="25" t="s">
        <v>3</v>
      </c>
      <c r="AJ2" s="25" t="s">
        <v>9</v>
      </c>
      <c r="AK2" s="25" t="s">
        <v>35</v>
      </c>
      <c r="AL2" s="25" t="s">
        <v>36</v>
      </c>
    </row>
    <row r="3" spans="1:41" ht="14.4" customHeight="1" x14ac:dyDescent="0.3">
      <c r="A3" s="26"/>
      <c r="B3" s="7"/>
      <c r="C3" s="28"/>
      <c r="D3" s="28"/>
      <c r="E3" s="28"/>
      <c r="F3" s="28"/>
      <c r="G3" s="26"/>
      <c r="H3" s="26"/>
      <c r="J3" s="26"/>
      <c r="K3" s="26"/>
      <c r="L3" s="26"/>
      <c r="M3" s="26"/>
      <c r="N3" s="26"/>
      <c r="O3" s="26"/>
      <c r="Q3" s="20">
        <f ca="1">OFFSET(AF4,$V$2,0)</f>
        <v>6.1</v>
      </c>
      <c r="R3" s="20">
        <f ca="1">OFFSET(AG4,$V$2,0)</f>
        <v>2.6</v>
      </c>
      <c r="S3" s="20">
        <f ca="1">OFFSET(AH4,$V$2,0)</f>
        <v>5.6</v>
      </c>
      <c r="T3" s="20">
        <f ca="1">OFFSET(AI4,$V$2,0)</f>
        <v>1.4</v>
      </c>
      <c r="U3" s="24" t="s">
        <v>17</v>
      </c>
      <c r="V3" s="13" t="s">
        <v>4</v>
      </c>
      <c r="X3" s="12" t="s">
        <v>33</v>
      </c>
      <c r="Y3" s="12"/>
      <c r="Z3" s="12"/>
      <c r="AA3" s="12"/>
      <c r="AB3" s="12"/>
      <c r="AD3" s="29"/>
      <c r="AE3" s="25"/>
      <c r="AF3" s="25"/>
      <c r="AG3" s="25"/>
      <c r="AH3" s="25"/>
      <c r="AI3" s="25"/>
      <c r="AJ3" s="25"/>
      <c r="AK3" s="25"/>
      <c r="AL3" s="25"/>
    </row>
    <row r="4" spans="1:41" x14ac:dyDescent="0.3">
      <c r="A4" s="2">
        <v>0</v>
      </c>
      <c r="B4" s="3" t="str">
        <f>C4&amp;D4&amp;E4&amp;F4</f>
        <v>5,13,51,40,2</v>
      </c>
      <c r="C4" s="3">
        <v>5.0999999999999996</v>
      </c>
      <c r="D4" s="3">
        <v>3.5</v>
      </c>
      <c r="E4" s="3">
        <v>1.4</v>
      </c>
      <c r="F4" s="3">
        <v>0.2</v>
      </c>
      <c r="G4" s="5">
        <v>0</v>
      </c>
      <c r="H4" s="2" t="s">
        <v>5</v>
      </c>
      <c r="J4" s="2">
        <v>0</v>
      </c>
      <c r="K4" s="3">
        <v>5.0999999999999996</v>
      </c>
      <c r="L4" s="3">
        <v>2.5</v>
      </c>
      <c r="M4" s="3">
        <v>3</v>
      </c>
      <c r="N4" s="3">
        <v>1.1000000000000001</v>
      </c>
      <c r="O4" s="5">
        <f>VLOOKUP(K4&amp;L4&amp;M4&amp;N4,$B:$G,6,0)</f>
        <v>1</v>
      </c>
      <c r="P4" s="4"/>
      <c r="Q4" s="3">
        <f ca="1">IF($U$3="L1",ABS(Q$3-K4),(Q$3-K4)^2)</f>
        <v>1</v>
      </c>
      <c r="R4" s="3">
        <f ca="1">IF($U$3="L1",ABS(R$3-L4),(R$3-L4)^2)</f>
        <v>0.10000000000000009</v>
      </c>
      <c r="S4" s="3">
        <f ca="1">IF($U$3="L1",ABS(S$3-M4),(S$3-M4)^2)</f>
        <v>2.5999999999999996</v>
      </c>
      <c r="T4" s="3">
        <f ca="1">IF($U$3="L1",ABS(T$3-N4),(T$3-N4)^2)</f>
        <v>0.29999999999999982</v>
      </c>
      <c r="U4" s="3">
        <f ca="1">IF(U3="L1",SUM(Q4:T4),SQRT(SUM(Q4:T4)))</f>
        <v>3.9999999999999996</v>
      </c>
      <c r="V4" s="2">
        <f>J4</f>
        <v>0</v>
      </c>
      <c r="X4" s="22">
        <f ca="1">MIN($U:$U)</f>
        <v>0.94868329805051377</v>
      </c>
      <c r="Y4" s="8">
        <f ca="1">VLOOKUP(X4,$U:$V,2,0)</f>
        <v>63</v>
      </c>
      <c r="Z4" s="2">
        <f ca="1">VLOOKUP(Y4,$J:$O,6,0)</f>
        <v>1</v>
      </c>
      <c r="AA4" s="2">
        <f ca="1">COUNTIF($Z$4:$Z$6,AB4)</f>
        <v>0</v>
      </c>
      <c r="AB4" s="2">
        <v>0</v>
      </c>
      <c r="AD4" s="2" t="str">
        <f t="shared" ref="AD4:AD48" ca="1" si="0">IF($Q$3&amp;$R$3&amp;$S$3&amp;$T$3=AF4&amp;AG4&amp;AH4&amp;AI4,VLOOKUP(MAX($AA$4:$AA$6),$AA$4:$AB$6,2,0) &amp; " =&gt; "," ")</f>
        <v xml:space="preserve"> </v>
      </c>
      <c r="AE4" s="21">
        <v>0</v>
      </c>
      <c r="AF4" s="3">
        <v>7.3</v>
      </c>
      <c r="AG4" s="3">
        <v>2.9</v>
      </c>
      <c r="AH4" s="3">
        <v>6.3</v>
      </c>
      <c r="AI4" s="3">
        <v>1.8</v>
      </c>
      <c r="AJ4" s="2">
        <v>2</v>
      </c>
      <c r="AK4" s="2">
        <v>2</v>
      </c>
      <c r="AL4" s="2">
        <v>2</v>
      </c>
      <c r="AM4" s="2">
        <f>IF(AK4=AJ4,1,0)</f>
        <v>1</v>
      </c>
      <c r="AN4" s="2">
        <f>IF(AL4=AJ4,1,0)</f>
        <v>1</v>
      </c>
      <c r="AO4" s="1" t="str">
        <f ca="1">IF(AND(AD4&lt;&gt;" ",LEFT(AD4,1)=""&amp;IF($U$3="L1",AK4,AL4)),"OK","")</f>
        <v/>
      </c>
    </row>
    <row r="5" spans="1:41" x14ac:dyDescent="0.3">
      <c r="A5" s="2">
        <v>1</v>
      </c>
      <c r="B5" s="3" t="str">
        <f t="shared" ref="B5:B68" si="1">C5&amp;D5&amp;E5&amp;F5</f>
        <v>4,931,40,2</v>
      </c>
      <c r="C5" s="3">
        <v>4.9000000000000004</v>
      </c>
      <c r="D5" s="3">
        <v>3</v>
      </c>
      <c r="E5" s="3">
        <v>1.4</v>
      </c>
      <c r="F5" s="3">
        <v>0.2</v>
      </c>
      <c r="G5" s="5">
        <v>0</v>
      </c>
      <c r="H5" s="2" t="s">
        <v>5</v>
      </c>
      <c r="J5" s="2">
        <v>1</v>
      </c>
      <c r="K5" s="3">
        <v>6.2</v>
      </c>
      <c r="L5" s="3">
        <v>2.2000000000000002</v>
      </c>
      <c r="M5" s="3">
        <v>4.5</v>
      </c>
      <c r="N5" s="3">
        <v>1.5</v>
      </c>
      <c r="O5" s="5">
        <f t="shared" ref="O5:O68" si="2">VLOOKUP(K5&amp;L5&amp;M5&amp;N5,$B:$G,6,0)</f>
        <v>1</v>
      </c>
      <c r="P5" s="4"/>
      <c r="Q5" s="3">
        <f t="shared" ref="Q5:Q68" ca="1" si="3">IF($U$3="L1",ABS(Q$3-K5),(Q$3-K5)^2)</f>
        <v>0.10000000000000053</v>
      </c>
      <c r="R5" s="3">
        <f t="shared" ref="R5:R68" ca="1" si="4">IF($U$3="L1",ABS(R$3-L5),(R$3-L5)^2)</f>
        <v>0.39999999999999991</v>
      </c>
      <c r="S5" s="3">
        <f t="shared" ref="S5:S68" ca="1" si="5">IF($U$3="L1",ABS(S$3-M5),(S$3-M5)^2)</f>
        <v>1.0999999999999996</v>
      </c>
      <c r="T5" s="3">
        <f t="shared" ref="T5:T68" ca="1" si="6">IF($U$3="L1",ABS(T$3-N5),(T$3-N5)^2)</f>
        <v>0.10000000000000009</v>
      </c>
      <c r="U5" s="3">
        <f t="shared" ref="U5:U68" ca="1" si="7">IF(U4="L1",SUM(Q5:T5),SQRT(SUM(Q5:T5)))</f>
        <v>1.3038404810405297</v>
      </c>
      <c r="V5" s="2">
        <f t="shared" ref="V5:V68" si="8">J5</f>
        <v>1</v>
      </c>
      <c r="X5" s="22">
        <f ca="1">_xlfn.MINIFS($U:$U,$U:$U,"&lt;&gt;"&amp;X4)</f>
        <v>1.0488088481701514</v>
      </c>
      <c r="Y5" s="8">
        <f ca="1">VLOOKUP(X5,$U:$V,2,0)</f>
        <v>93</v>
      </c>
      <c r="Z5" s="2">
        <f ca="1">VLOOKUP(Y5,$J:$O,6,0)</f>
        <v>1</v>
      </c>
      <c r="AA5" s="2">
        <f ca="1">COUNTIF($Z$4:$Z$6,AB5)</f>
        <v>2</v>
      </c>
      <c r="AB5" s="2">
        <v>1</v>
      </c>
      <c r="AD5" s="2" t="str">
        <f t="shared" ca="1" si="0"/>
        <v xml:space="preserve"> </v>
      </c>
      <c r="AE5" s="21">
        <v>1</v>
      </c>
      <c r="AF5" s="3">
        <v>6.1</v>
      </c>
      <c r="AG5" s="3">
        <v>2.9</v>
      </c>
      <c r="AH5" s="3">
        <v>4.7</v>
      </c>
      <c r="AI5" s="3">
        <v>1.4</v>
      </c>
      <c r="AJ5" s="2">
        <v>1</v>
      </c>
      <c r="AK5" s="2">
        <v>1</v>
      </c>
      <c r="AL5" s="2">
        <v>1</v>
      </c>
      <c r="AM5" s="2">
        <f t="shared" ref="AM5:AM33" si="9">IF(AK5=AJ5,1,0)</f>
        <v>1</v>
      </c>
      <c r="AN5" s="2">
        <f t="shared" ref="AN5:AN33" si="10">IF(AL5=AJ5,1,0)</f>
        <v>1</v>
      </c>
      <c r="AO5" s="1" t="str">
        <f t="shared" ref="AO5:AO48" ca="1" si="11">IF(AND(AD5&lt;&gt;" ",LEFT(AD5,1)=""&amp;IF($U$3="L1",AK5,AL5)),"OK","")</f>
        <v/>
      </c>
    </row>
    <row r="6" spans="1:41" x14ac:dyDescent="0.3">
      <c r="A6" s="2">
        <v>2</v>
      </c>
      <c r="B6" s="3" t="str">
        <f t="shared" si="1"/>
        <v>4,73,21,30,2</v>
      </c>
      <c r="C6" s="3">
        <v>4.7</v>
      </c>
      <c r="D6" s="3">
        <v>3.2</v>
      </c>
      <c r="E6" s="3">
        <v>1.3</v>
      </c>
      <c r="F6" s="3">
        <v>0.2</v>
      </c>
      <c r="G6" s="5">
        <v>0</v>
      </c>
      <c r="H6" s="2" t="s">
        <v>5</v>
      </c>
      <c r="J6" s="2">
        <v>2</v>
      </c>
      <c r="K6" s="3">
        <v>5.0999999999999996</v>
      </c>
      <c r="L6" s="3">
        <v>3.8</v>
      </c>
      <c r="M6" s="3">
        <v>1.5</v>
      </c>
      <c r="N6" s="3">
        <v>0.3</v>
      </c>
      <c r="O6" s="5">
        <f t="shared" si="2"/>
        <v>0</v>
      </c>
      <c r="P6" s="4"/>
      <c r="Q6" s="3">
        <f t="shared" ca="1" si="3"/>
        <v>1</v>
      </c>
      <c r="R6" s="3">
        <f t="shared" ca="1" si="4"/>
        <v>1.1999999999999997</v>
      </c>
      <c r="S6" s="3">
        <f t="shared" ca="1" si="5"/>
        <v>4.0999999999999996</v>
      </c>
      <c r="T6" s="3">
        <f t="shared" ca="1" si="6"/>
        <v>1.0999999999999999</v>
      </c>
      <c r="U6" s="3">
        <f t="shared" ca="1" si="7"/>
        <v>2.7202941017470885</v>
      </c>
      <c r="V6" s="2">
        <f t="shared" si="8"/>
        <v>2</v>
      </c>
      <c r="X6" s="22">
        <f ca="1">_xlfn.MINIFS($U:$U,$U:$U,"&lt;&gt;"&amp;X4,$U:$U,"&lt;&gt;"&amp;X5)</f>
        <v>1.0954451150103319</v>
      </c>
      <c r="Y6" s="8">
        <f ca="1">VLOOKUP(X6,$U:$V,2,0)</f>
        <v>42</v>
      </c>
      <c r="Z6" s="2">
        <f ca="1">VLOOKUP(Y6,$J:$O,6,0)</f>
        <v>2</v>
      </c>
      <c r="AA6" s="2">
        <f ca="1">COUNTIF($Z$4:$Z$6,AB6)</f>
        <v>1</v>
      </c>
      <c r="AB6" s="2">
        <v>2</v>
      </c>
      <c r="AD6" s="2" t="str">
        <f t="shared" ca="1" si="0"/>
        <v xml:space="preserve"> </v>
      </c>
      <c r="AE6" s="21">
        <v>2</v>
      </c>
      <c r="AF6" s="3">
        <v>6.3</v>
      </c>
      <c r="AG6" s="3">
        <v>2.8</v>
      </c>
      <c r="AH6" s="3">
        <v>5.0999999999999996</v>
      </c>
      <c r="AI6" s="3">
        <v>1.5</v>
      </c>
      <c r="AJ6" s="2">
        <v>2</v>
      </c>
      <c r="AK6" s="2">
        <v>1</v>
      </c>
      <c r="AL6" s="2">
        <v>1</v>
      </c>
      <c r="AM6" s="2">
        <f t="shared" si="9"/>
        <v>0</v>
      </c>
      <c r="AN6" s="2">
        <f t="shared" si="10"/>
        <v>0</v>
      </c>
      <c r="AO6" s="1" t="str">
        <f t="shared" ca="1" si="11"/>
        <v/>
      </c>
    </row>
    <row r="7" spans="1:41" x14ac:dyDescent="0.3">
      <c r="A7" s="2">
        <v>3</v>
      </c>
      <c r="B7" s="3" t="str">
        <f t="shared" si="1"/>
        <v>4,63,11,50,2</v>
      </c>
      <c r="C7" s="3">
        <v>4.5999999999999996</v>
      </c>
      <c r="D7" s="3">
        <v>3.1</v>
      </c>
      <c r="E7" s="3">
        <v>1.5</v>
      </c>
      <c r="F7" s="3">
        <v>0.2</v>
      </c>
      <c r="G7" s="5">
        <v>0</v>
      </c>
      <c r="H7" s="2" t="s">
        <v>5</v>
      </c>
      <c r="J7" s="2">
        <v>3</v>
      </c>
      <c r="K7" s="3">
        <v>6.8</v>
      </c>
      <c r="L7" s="3">
        <v>3.2</v>
      </c>
      <c r="M7" s="3">
        <v>5.9</v>
      </c>
      <c r="N7" s="3">
        <v>2.2999999999999998</v>
      </c>
      <c r="O7" s="5">
        <f t="shared" si="2"/>
        <v>2</v>
      </c>
      <c r="P7" s="4"/>
      <c r="Q7" s="3">
        <f t="shared" ca="1" si="3"/>
        <v>0.70000000000000018</v>
      </c>
      <c r="R7" s="3">
        <f t="shared" ca="1" si="4"/>
        <v>0.60000000000000009</v>
      </c>
      <c r="S7" s="3">
        <f t="shared" ca="1" si="5"/>
        <v>0.30000000000000071</v>
      </c>
      <c r="T7" s="3">
        <f t="shared" ca="1" si="6"/>
        <v>0.89999999999999991</v>
      </c>
      <c r="U7" s="3">
        <f t="shared" ca="1" si="7"/>
        <v>1.58113883008419</v>
      </c>
      <c r="V7" s="2">
        <f t="shared" si="8"/>
        <v>3</v>
      </c>
      <c r="X7" s="17"/>
      <c r="Z7" s="2"/>
      <c r="AD7" s="2" t="str">
        <f t="shared" ca="1" si="0"/>
        <v xml:space="preserve"> </v>
      </c>
      <c r="AE7" s="21">
        <v>3</v>
      </c>
      <c r="AF7" s="3">
        <v>6.3</v>
      </c>
      <c r="AG7" s="3">
        <v>3.3</v>
      </c>
      <c r="AH7" s="3">
        <v>4.7</v>
      </c>
      <c r="AI7" s="3">
        <v>1.6</v>
      </c>
      <c r="AJ7" s="2">
        <v>1</v>
      </c>
      <c r="AK7" s="2">
        <v>1</v>
      </c>
      <c r="AL7" s="2">
        <v>1</v>
      </c>
      <c r="AM7" s="2">
        <f t="shared" si="9"/>
        <v>1</v>
      </c>
      <c r="AN7" s="2">
        <f t="shared" si="10"/>
        <v>1</v>
      </c>
      <c r="AO7" s="1" t="str">
        <f t="shared" ca="1" si="11"/>
        <v/>
      </c>
    </row>
    <row r="8" spans="1:41" x14ac:dyDescent="0.3">
      <c r="A8" s="2">
        <v>4</v>
      </c>
      <c r="B8" s="3" t="str">
        <f t="shared" si="1"/>
        <v>53,61,40,2</v>
      </c>
      <c r="C8" s="3">
        <v>5</v>
      </c>
      <c r="D8" s="3">
        <v>3.6</v>
      </c>
      <c r="E8" s="3">
        <v>1.4</v>
      </c>
      <c r="F8" s="3">
        <v>0.2</v>
      </c>
      <c r="G8" s="5">
        <v>0</v>
      </c>
      <c r="H8" s="2" t="s">
        <v>5</v>
      </c>
      <c r="J8" s="2">
        <v>4</v>
      </c>
      <c r="K8" s="3">
        <v>5.7</v>
      </c>
      <c r="L8" s="3">
        <v>2.8</v>
      </c>
      <c r="M8" s="3">
        <v>4.0999999999999996</v>
      </c>
      <c r="N8" s="3">
        <v>1.3</v>
      </c>
      <c r="O8" s="5">
        <f t="shared" si="2"/>
        <v>1</v>
      </c>
      <c r="P8" s="4"/>
      <c r="Q8" s="3">
        <f t="shared" ca="1" si="3"/>
        <v>0.39999999999999947</v>
      </c>
      <c r="R8" s="3">
        <f t="shared" ca="1" si="4"/>
        <v>0.19999999999999973</v>
      </c>
      <c r="S8" s="3">
        <f t="shared" ca="1" si="5"/>
        <v>1.5</v>
      </c>
      <c r="T8" s="3">
        <f t="shared" ca="1" si="6"/>
        <v>9.9999999999999867E-2</v>
      </c>
      <c r="U8" s="3">
        <f t="shared" ca="1" si="7"/>
        <v>1.4832396974191324</v>
      </c>
      <c r="V8" s="2">
        <f t="shared" si="8"/>
        <v>4</v>
      </c>
      <c r="X8" s="17"/>
      <c r="Z8" s="2"/>
      <c r="AD8" s="2" t="str">
        <f t="shared" ca="1" si="0"/>
        <v xml:space="preserve"> </v>
      </c>
      <c r="AE8" s="21">
        <v>4</v>
      </c>
      <c r="AF8" s="3">
        <v>6.1</v>
      </c>
      <c r="AG8" s="3">
        <v>3</v>
      </c>
      <c r="AH8" s="3">
        <v>4.9000000000000004</v>
      </c>
      <c r="AI8" s="3">
        <v>1.8</v>
      </c>
      <c r="AJ8" s="2">
        <v>2</v>
      </c>
      <c r="AK8" s="2">
        <v>2</v>
      </c>
      <c r="AL8" s="2">
        <v>2</v>
      </c>
      <c r="AM8" s="2">
        <f t="shared" si="9"/>
        <v>1</v>
      </c>
      <c r="AN8" s="2">
        <f t="shared" si="10"/>
        <v>1</v>
      </c>
      <c r="AO8" s="1" t="str">
        <f t="shared" ca="1" si="11"/>
        <v/>
      </c>
    </row>
    <row r="9" spans="1:41" x14ac:dyDescent="0.3">
      <c r="A9" s="2">
        <v>5</v>
      </c>
      <c r="B9" s="3" t="str">
        <f t="shared" si="1"/>
        <v>5,43,91,70,4</v>
      </c>
      <c r="C9" s="3">
        <v>5.4</v>
      </c>
      <c r="D9" s="3">
        <v>3.9</v>
      </c>
      <c r="E9" s="3">
        <v>1.7</v>
      </c>
      <c r="F9" s="3">
        <v>0.4</v>
      </c>
      <c r="G9" s="5">
        <v>0</v>
      </c>
      <c r="H9" s="2" t="s">
        <v>5</v>
      </c>
      <c r="J9" s="2">
        <v>5</v>
      </c>
      <c r="K9" s="3">
        <v>6.7</v>
      </c>
      <c r="L9" s="3">
        <v>3</v>
      </c>
      <c r="M9" s="3">
        <v>5.2</v>
      </c>
      <c r="N9" s="3">
        <v>2.2999999999999998</v>
      </c>
      <c r="O9" s="5">
        <f t="shared" si="2"/>
        <v>2</v>
      </c>
      <c r="P9" s="4"/>
      <c r="Q9" s="3">
        <f t="shared" ca="1" si="3"/>
        <v>0.60000000000000053</v>
      </c>
      <c r="R9" s="3">
        <f t="shared" ca="1" si="4"/>
        <v>0.39999999999999991</v>
      </c>
      <c r="S9" s="3">
        <f t="shared" ca="1" si="5"/>
        <v>0.39999999999999947</v>
      </c>
      <c r="T9" s="3">
        <f t="shared" ca="1" si="6"/>
        <v>0.89999999999999991</v>
      </c>
      <c r="U9" s="3">
        <f t="shared" ca="1" si="7"/>
        <v>1.51657508881031</v>
      </c>
      <c r="V9" s="2">
        <f t="shared" si="8"/>
        <v>5</v>
      </c>
      <c r="X9" s="17"/>
      <c r="Z9" s="2"/>
      <c r="AD9" s="2" t="str">
        <f t="shared" ca="1" si="0"/>
        <v xml:space="preserve"> </v>
      </c>
      <c r="AE9" s="21">
        <v>5</v>
      </c>
      <c r="AF9" s="3">
        <v>6.7</v>
      </c>
      <c r="AG9" s="3">
        <v>3.1</v>
      </c>
      <c r="AH9" s="3">
        <v>5.6</v>
      </c>
      <c r="AI9" s="3">
        <v>2.4</v>
      </c>
      <c r="AJ9" s="2">
        <v>2</v>
      </c>
      <c r="AK9" s="2">
        <v>2</v>
      </c>
      <c r="AL9" s="2">
        <v>2</v>
      </c>
      <c r="AM9" s="2">
        <f t="shared" si="9"/>
        <v>1</v>
      </c>
      <c r="AN9" s="2">
        <f t="shared" si="10"/>
        <v>1</v>
      </c>
      <c r="AO9" s="1" t="str">
        <f t="shared" ca="1" si="11"/>
        <v/>
      </c>
    </row>
    <row r="10" spans="1:41" x14ac:dyDescent="0.3">
      <c r="A10" s="2">
        <v>6</v>
      </c>
      <c r="B10" s="3" t="str">
        <f t="shared" si="1"/>
        <v>4,63,41,40,3</v>
      </c>
      <c r="C10" s="3">
        <v>4.5999999999999996</v>
      </c>
      <c r="D10" s="3">
        <v>3.4</v>
      </c>
      <c r="E10" s="3">
        <v>1.4</v>
      </c>
      <c r="F10" s="3">
        <v>0.3</v>
      </c>
      <c r="G10" s="5">
        <v>0</v>
      </c>
      <c r="H10" s="2" t="s">
        <v>5</v>
      </c>
      <c r="J10" s="2">
        <v>6</v>
      </c>
      <c r="K10" s="3">
        <v>4.9000000000000004</v>
      </c>
      <c r="L10" s="3">
        <v>3.1</v>
      </c>
      <c r="M10" s="3">
        <v>1.5</v>
      </c>
      <c r="N10" s="3">
        <v>0.1</v>
      </c>
      <c r="O10" s="5">
        <f t="shared" si="2"/>
        <v>0</v>
      </c>
      <c r="P10" s="4"/>
      <c r="Q10" s="3">
        <f t="shared" ca="1" si="3"/>
        <v>1.1999999999999993</v>
      </c>
      <c r="R10" s="3">
        <f t="shared" ca="1" si="4"/>
        <v>0.5</v>
      </c>
      <c r="S10" s="3">
        <f t="shared" ca="1" si="5"/>
        <v>4.0999999999999996</v>
      </c>
      <c r="T10" s="3">
        <f t="shared" ca="1" si="6"/>
        <v>1.2999999999999998</v>
      </c>
      <c r="U10" s="3">
        <f t="shared" ca="1" si="7"/>
        <v>2.6645825188948455</v>
      </c>
      <c r="V10" s="2">
        <f t="shared" si="8"/>
        <v>6</v>
      </c>
      <c r="X10" s="17"/>
      <c r="Z10" s="2"/>
      <c r="AD10" s="2" t="str">
        <f t="shared" ca="1" si="0"/>
        <v xml:space="preserve"> </v>
      </c>
      <c r="AE10" s="21">
        <v>6</v>
      </c>
      <c r="AF10" s="3">
        <v>5.5</v>
      </c>
      <c r="AG10" s="3">
        <v>2.2999999999999998</v>
      </c>
      <c r="AH10" s="3">
        <v>4</v>
      </c>
      <c r="AI10" s="3">
        <v>1.3</v>
      </c>
      <c r="AJ10" s="2">
        <v>1</v>
      </c>
      <c r="AK10" s="2">
        <v>1</v>
      </c>
      <c r="AL10" s="2">
        <v>1</v>
      </c>
      <c r="AM10" s="2">
        <f t="shared" si="9"/>
        <v>1</v>
      </c>
      <c r="AN10" s="2">
        <f t="shared" si="10"/>
        <v>1</v>
      </c>
      <c r="AO10" s="1" t="str">
        <f t="shared" ca="1" si="11"/>
        <v/>
      </c>
    </row>
    <row r="11" spans="1:41" x14ac:dyDescent="0.3">
      <c r="A11" s="2">
        <v>7</v>
      </c>
      <c r="B11" s="3" t="str">
        <f t="shared" si="1"/>
        <v>53,41,50,2</v>
      </c>
      <c r="C11" s="3">
        <v>5</v>
      </c>
      <c r="D11" s="3">
        <v>3.4</v>
      </c>
      <c r="E11" s="3">
        <v>1.5</v>
      </c>
      <c r="F11" s="3">
        <v>0.2</v>
      </c>
      <c r="G11" s="5">
        <v>0</v>
      </c>
      <c r="H11" s="2" t="s">
        <v>5</v>
      </c>
      <c r="J11" s="2">
        <v>7</v>
      </c>
      <c r="K11" s="3">
        <v>5.0999999999999996</v>
      </c>
      <c r="L11" s="3">
        <v>3.8</v>
      </c>
      <c r="M11" s="3">
        <v>1.6</v>
      </c>
      <c r="N11" s="3">
        <v>0.2</v>
      </c>
      <c r="O11" s="5">
        <f t="shared" si="2"/>
        <v>0</v>
      </c>
      <c r="P11" s="4"/>
      <c r="Q11" s="3">
        <f t="shared" ca="1" si="3"/>
        <v>1</v>
      </c>
      <c r="R11" s="3">
        <f t="shared" ca="1" si="4"/>
        <v>1.1999999999999997</v>
      </c>
      <c r="S11" s="3">
        <f t="shared" ca="1" si="5"/>
        <v>3.9999999999999996</v>
      </c>
      <c r="T11" s="3">
        <f t="shared" ca="1" si="6"/>
        <v>1.2</v>
      </c>
      <c r="U11" s="3">
        <f t="shared" ca="1" si="7"/>
        <v>2.7202941017470885</v>
      </c>
      <c r="V11" s="2">
        <f t="shared" si="8"/>
        <v>7</v>
      </c>
      <c r="X11" s="17"/>
      <c r="Z11" s="2"/>
      <c r="AD11" s="2" t="str">
        <f t="shared" ca="1" si="0"/>
        <v xml:space="preserve"> </v>
      </c>
      <c r="AE11" s="21">
        <v>7</v>
      </c>
      <c r="AF11" s="3">
        <v>5.6</v>
      </c>
      <c r="AG11" s="3">
        <v>2.5</v>
      </c>
      <c r="AH11" s="3">
        <v>3.9</v>
      </c>
      <c r="AI11" s="3">
        <v>1.1000000000000001</v>
      </c>
      <c r="AJ11" s="2">
        <v>1</v>
      </c>
      <c r="AK11" s="2">
        <v>1</v>
      </c>
      <c r="AL11" s="2">
        <v>1</v>
      </c>
      <c r="AM11" s="2">
        <f t="shared" si="9"/>
        <v>1</v>
      </c>
      <c r="AN11" s="2">
        <f t="shared" si="10"/>
        <v>1</v>
      </c>
      <c r="AO11" s="1" t="str">
        <f t="shared" ca="1" si="11"/>
        <v/>
      </c>
    </row>
    <row r="12" spans="1:41" x14ac:dyDescent="0.3">
      <c r="A12" s="2">
        <v>8</v>
      </c>
      <c r="B12" s="3" t="str">
        <f t="shared" si="1"/>
        <v>4,42,91,40,2</v>
      </c>
      <c r="C12" s="3">
        <v>4.4000000000000004</v>
      </c>
      <c r="D12" s="3">
        <v>2.9</v>
      </c>
      <c r="E12" s="3">
        <v>1.4</v>
      </c>
      <c r="F12" s="3">
        <v>0.2</v>
      </c>
      <c r="G12" s="5">
        <v>0</v>
      </c>
      <c r="H12" s="2" t="s">
        <v>5</v>
      </c>
      <c r="J12" s="2">
        <v>8</v>
      </c>
      <c r="K12" s="3">
        <v>4.4000000000000004</v>
      </c>
      <c r="L12" s="3">
        <v>2.9</v>
      </c>
      <c r="M12" s="3">
        <v>1.4</v>
      </c>
      <c r="N12" s="3">
        <v>0.2</v>
      </c>
      <c r="O12" s="5">
        <f t="shared" si="2"/>
        <v>0</v>
      </c>
      <c r="P12" s="4"/>
      <c r="Q12" s="3">
        <f t="shared" ca="1" si="3"/>
        <v>1.6999999999999993</v>
      </c>
      <c r="R12" s="3">
        <f t="shared" ca="1" si="4"/>
        <v>0.29999999999999982</v>
      </c>
      <c r="S12" s="3">
        <f t="shared" ca="1" si="5"/>
        <v>4.1999999999999993</v>
      </c>
      <c r="T12" s="3">
        <f t="shared" ca="1" si="6"/>
        <v>1.2</v>
      </c>
      <c r="U12" s="3">
        <f t="shared" ca="1" si="7"/>
        <v>2.7202941017470885</v>
      </c>
      <c r="V12" s="2">
        <f t="shared" si="8"/>
        <v>8</v>
      </c>
      <c r="X12" s="17"/>
      <c r="Z12" s="2"/>
      <c r="AD12" s="2" t="str">
        <f t="shared" ca="1" si="0"/>
        <v xml:space="preserve"> </v>
      </c>
      <c r="AE12" s="21">
        <v>8</v>
      </c>
      <c r="AF12" s="3">
        <v>5.4</v>
      </c>
      <c r="AG12" s="3">
        <v>3.4</v>
      </c>
      <c r="AH12" s="3">
        <v>1.7</v>
      </c>
      <c r="AI12" s="3">
        <v>0.2</v>
      </c>
      <c r="AJ12" s="2">
        <v>0</v>
      </c>
      <c r="AK12" s="2">
        <v>0</v>
      </c>
      <c r="AL12" s="2">
        <v>0</v>
      </c>
      <c r="AM12" s="2">
        <f t="shared" si="9"/>
        <v>1</v>
      </c>
      <c r="AN12" s="2">
        <f t="shared" si="10"/>
        <v>1</v>
      </c>
      <c r="AO12" s="1" t="str">
        <f t="shared" ca="1" si="11"/>
        <v/>
      </c>
    </row>
    <row r="13" spans="1:41" x14ac:dyDescent="0.3">
      <c r="A13" s="2">
        <v>9</v>
      </c>
      <c r="B13" s="3" t="str">
        <f t="shared" si="1"/>
        <v>4,93,11,50,1</v>
      </c>
      <c r="C13" s="3">
        <v>4.9000000000000004</v>
      </c>
      <c r="D13" s="3">
        <v>3.1</v>
      </c>
      <c r="E13" s="3">
        <v>1.5</v>
      </c>
      <c r="F13" s="3">
        <v>0.1</v>
      </c>
      <c r="G13" s="5">
        <v>0</v>
      </c>
      <c r="H13" s="2" t="s">
        <v>5</v>
      </c>
      <c r="J13" s="2">
        <v>9</v>
      </c>
      <c r="K13" s="3">
        <v>7.1</v>
      </c>
      <c r="L13" s="3">
        <v>3</v>
      </c>
      <c r="M13" s="3">
        <v>5.9</v>
      </c>
      <c r="N13" s="3">
        <v>2.1</v>
      </c>
      <c r="O13" s="5">
        <f t="shared" si="2"/>
        <v>2</v>
      </c>
      <c r="P13" s="4"/>
      <c r="Q13" s="3">
        <f t="shared" ca="1" si="3"/>
        <v>1</v>
      </c>
      <c r="R13" s="3">
        <f t="shared" ca="1" si="4"/>
        <v>0.39999999999999991</v>
      </c>
      <c r="S13" s="3">
        <f t="shared" ca="1" si="5"/>
        <v>0.30000000000000071</v>
      </c>
      <c r="T13" s="3">
        <f t="shared" ca="1" si="6"/>
        <v>0.70000000000000018</v>
      </c>
      <c r="U13" s="3">
        <f t="shared" ca="1" si="7"/>
        <v>1.549193338482967</v>
      </c>
      <c r="V13" s="2">
        <f t="shared" si="8"/>
        <v>9</v>
      </c>
      <c r="X13" s="17"/>
      <c r="Z13" s="2"/>
      <c r="AD13" s="2" t="str">
        <f t="shared" ca="1" si="0"/>
        <v xml:space="preserve"> </v>
      </c>
      <c r="AE13" s="21">
        <v>9</v>
      </c>
      <c r="AF13" s="3">
        <v>6.9</v>
      </c>
      <c r="AG13" s="3">
        <v>3.1</v>
      </c>
      <c r="AH13" s="3">
        <v>5.0999999999999996</v>
      </c>
      <c r="AI13" s="3">
        <v>2.2999999999999998</v>
      </c>
      <c r="AJ13" s="2">
        <v>2</v>
      </c>
      <c r="AK13" s="2">
        <v>2</v>
      </c>
      <c r="AL13" s="2">
        <v>2</v>
      </c>
      <c r="AM13" s="2">
        <f t="shared" si="9"/>
        <v>1</v>
      </c>
      <c r="AN13" s="2">
        <f t="shared" si="10"/>
        <v>1</v>
      </c>
      <c r="AO13" s="1" t="str">
        <f t="shared" ca="1" si="11"/>
        <v/>
      </c>
    </row>
    <row r="14" spans="1:41" x14ac:dyDescent="0.3">
      <c r="A14" s="2">
        <v>10</v>
      </c>
      <c r="B14" s="3" t="str">
        <f t="shared" si="1"/>
        <v>5,43,71,50,2</v>
      </c>
      <c r="C14" s="3">
        <v>5.4</v>
      </c>
      <c r="D14" s="3">
        <v>3.7</v>
      </c>
      <c r="E14" s="3">
        <v>1.5</v>
      </c>
      <c r="F14" s="3">
        <v>0.2</v>
      </c>
      <c r="G14" s="5">
        <v>0</v>
      </c>
      <c r="H14" s="2" t="s">
        <v>5</v>
      </c>
      <c r="J14" s="2">
        <v>10</v>
      </c>
      <c r="K14" s="3">
        <v>6.5</v>
      </c>
      <c r="L14" s="3">
        <v>3.2</v>
      </c>
      <c r="M14" s="3">
        <v>5.0999999999999996</v>
      </c>
      <c r="N14" s="3">
        <v>2</v>
      </c>
      <c r="O14" s="5">
        <f t="shared" si="2"/>
        <v>2</v>
      </c>
      <c r="P14" s="4"/>
      <c r="Q14" s="3">
        <f t="shared" ca="1" si="3"/>
        <v>0.40000000000000036</v>
      </c>
      <c r="R14" s="3">
        <f t="shared" ca="1" si="4"/>
        <v>0.60000000000000009</v>
      </c>
      <c r="S14" s="3">
        <f t="shared" ca="1" si="5"/>
        <v>0.5</v>
      </c>
      <c r="T14" s="3">
        <f t="shared" ca="1" si="6"/>
        <v>0.60000000000000009</v>
      </c>
      <c r="U14" s="3">
        <f t="shared" ca="1" si="7"/>
        <v>1.4491376746189439</v>
      </c>
      <c r="V14" s="2">
        <f t="shared" si="8"/>
        <v>10</v>
      </c>
      <c r="X14" s="17"/>
      <c r="Z14" s="2"/>
      <c r="AD14" s="2" t="str">
        <f t="shared" ca="1" si="0"/>
        <v xml:space="preserve"> </v>
      </c>
      <c r="AE14" s="21">
        <v>10</v>
      </c>
      <c r="AF14" s="3">
        <v>5.8</v>
      </c>
      <c r="AG14" s="3">
        <v>4</v>
      </c>
      <c r="AH14" s="3">
        <v>1.2</v>
      </c>
      <c r="AI14" s="3">
        <v>0.2</v>
      </c>
      <c r="AJ14" s="2">
        <v>0</v>
      </c>
      <c r="AK14" s="2">
        <v>0</v>
      </c>
      <c r="AL14" s="2">
        <v>0</v>
      </c>
      <c r="AM14" s="2">
        <f t="shared" si="9"/>
        <v>1</v>
      </c>
      <c r="AN14" s="2">
        <f t="shared" si="10"/>
        <v>1</v>
      </c>
      <c r="AO14" s="1" t="str">
        <f t="shared" ca="1" si="11"/>
        <v/>
      </c>
    </row>
    <row r="15" spans="1:41" x14ac:dyDescent="0.3">
      <c r="A15" s="2">
        <v>11</v>
      </c>
      <c r="B15" s="3" t="str">
        <f t="shared" si="1"/>
        <v>4,83,41,60,2</v>
      </c>
      <c r="C15" s="3">
        <v>4.8</v>
      </c>
      <c r="D15" s="3">
        <v>3.4</v>
      </c>
      <c r="E15" s="3">
        <v>1.6</v>
      </c>
      <c r="F15" s="3">
        <v>0.2</v>
      </c>
      <c r="G15" s="5">
        <v>0</v>
      </c>
      <c r="H15" s="2" t="s">
        <v>5</v>
      </c>
      <c r="J15" s="2">
        <v>11</v>
      </c>
      <c r="K15" s="3">
        <v>4.9000000000000004</v>
      </c>
      <c r="L15" s="3">
        <v>3</v>
      </c>
      <c r="M15" s="3">
        <v>1.4</v>
      </c>
      <c r="N15" s="3">
        <v>0.2</v>
      </c>
      <c r="O15" s="5">
        <f t="shared" si="2"/>
        <v>0</v>
      </c>
      <c r="P15" s="4"/>
      <c r="Q15" s="3">
        <f t="shared" ca="1" si="3"/>
        <v>1.1999999999999993</v>
      </c>
      <c r="R15" s="3">
        <f t="shared" ca="1" si="4"/>
        <v>0.39999999999999991</v>
      </c>
      <c r="S15" s="3">
        <f t="shared" ca="1" si="5"/>
        <v>4.1999999999999993</v>
      </c>
      <c r="T15" s="3">
        <f t="shared" ca="1" si="6"/>
        <v>1.2</v>
      </c>
      <c r="U15" s="3">
        <f t="shared" ca="1" si="7"/>
        <v>2.6457513110645903</v>
      </c>
      <c r="V15" s="2">
        <f t="shared" si="8"/>
        <v>11</v>
      </c>
      <c r="X15" s="17"/>
      <c r="Z15" s="2"/>
      <c r="AD15" s="2" t="str">
        <f t="shared" ca="1" si="0"/>
        <v xml:space="preserve"> </v>
      </c>
      <c r="AE15" s="21">
        <v>11</v>
      </c>
      <c r="AF15" s="3">
        <v>4.4000000000000004</v>
      </c>
      <c r="AG15" s="3">
        <v>3</v>
      </c>
      <c r="AH15" s="3">
        <v>1.3</v>
      </c>
      <c r="AI15" s="3">
        <v>0.2</v>
      </c>
      <c r="AJ15" s="2">
        <v>0</v>
      </c>
      <c r="AK15" s="2">
        <v>0</v>
      </c>
      <c r="AL15" s="2">
        <v>0</v>
      </c>
      <c r="AM15" s="2">
        <f t="shared" si="9"/>
        <v>1</v>
      </c>
      <c r="AN15" s="2">
        <f t="shared" si="10"/>
        <v>1</v>
      </c>
      <c r="AO15" s="1" t="str">
        <f t="shared" ca="1" si="11"/>
        <v/>
      </c>
    </row>
    <row r="16" spans="1:41" x14ac:dyDescent="0.3">
      <c r="A16" s="2">
        <v>12</v>
      </c>
      <c r="B16" s="3" t="str">
        <f t="shared" si="1"/>
        <v>4,831,40,1</v>
      </c>
      <c r="C16" s="3">
        <v>4.8</v>
      </c>
      <c r="D16" s="3">
        <v>3</v>
      </c>
      <c r="E16" s="3">
        <v>1.4</v>
      </c>
      <c r="F16" s="3">
        <v>0.1</v>
      </c>
      <c r="G16" s="5">
        <v>0</v>
      </c>
      <c r="H16" s="2" t="s">
        <v>5</v>
      </c>
      <c r="J16" s="2">
        <v>12</v>
      </c>
      <c r="K16" s="3">
        <v>5</v>
      </c>
      <c r="L16" s="3">
        <v>3</v>
      </c>
      <c r="M16" s="3">
        <v>1.6</v>
      </c>
      <c r="N16" s="3">
        <v>0.2</v>
      </c>
      <c r="O16" s="5">
        <f t="shared" si="2"/>
        <v>0</v>
      </c>
      <c r="P16" s="4"/>
      <c r="Q16" s="3">
        <f t="shared" ca="1" si="3"/>
        <v>1.0999999999999996</v>
      </c>
      <c r="R16" s="3">
        <f t="shared" ca="1" si="4"/>
        <v>0.39999999999999991</v>
      </c>
      <c r="S16" s="3">
        <f t="shared" ca="1" si="5"/>
        <v>3.9999999999999996</v>
      </c>
      <c r="T16" s="3">
        <f t="shared" ca="1" si="6"/>
        <v>1.2</v>
      </c>
      <c r="U16" s="3">
        <f t="shared" ca="1" si="7"/>
        <v>2.5884358211089569</v>
      </c>
      <c r="V16" s="2">
        <f t="shared" si="8"/>
        <v>12</v>
      </c>
      <c r="X16" s="17"/>
      <c r="Z16" s="2"/>
      <c r="AD16" s="2" t="str">
        <f t="shared" ca="1" si="0"/>
        <v xml:space="preserve"> </v>
      </c>
      <c r="AE16" s="21">
        <v>12</v>
      </c>
      <c r="AF16" s="3">
        <v>6.7</v>
      </c>
      <c r="AG16" s="3">
        <v>2.5</v>
      </c>
      <c r="AH16" s="3">
        <v>5.8</v>
      </c>
      <c r="AI16" s="3">
        <v>1.8</v>
      </c>
      <c r="AJ16" s="2">
        <v>2</v>
      </c>
      <c r="AK16" s="2">
        <v>2</v>
      </c>
      <c r="AL16" s="2">
        <v>2</v>
      </c>
      <c r="AM16" s="2">
        <f t="shared" si="9"/>
        <v>1</v>
      </c>
      <c r="AN16" s="2">
        <f t="shared" si="10"/>
        <v>1</v>
      </c>
      <c r="AO16" s="1" t="str">
        <f t="shared" ca="1" si="11"/>
        <v/>
      </c>
    </row>
    <row r="17" spans="1:41" x14ac:dyDescent="0.3">
      <c r="A17" s="2">
        <v>13</v>
      </c>
      <c r="B17" s="3" t="str">
        <f t="shared" si="1"/>
        <v>4,331,10,1</v>
      </c>
      <c r="C17" s="3">
        <v>4.3</v>
      </c>
      <c r="D17" s="3">
        <v>3</v>
      </c>
      <c r="E17" s="3">
        <v>1.1000000000000001</v>
      </c>
      <c r="F17" s="3">
        <v>0.1</v>
      </c>
      <c r="G17" s="5">
        <v>0</v>
      </c>
      <c r="H17" s="2" t="s">
        <v>5</v>
      </c>
      <c r="J17" s="2">
        <v>13</v>
      </c>
      <c r="K17" s="3">
        <v>6</v>
      </c>
      <c r="L17" s="3">
        <v>2.9</v>
      </c>
      <c r="M17" s="3">
        <v>4.5</v>
      </c>
      <c r="N17" s="3">
        <v>1.5</v>
      </c>
      <c r="O17" s="5">
        <f t="shared" si="2"/>
        <v>1</v>
      </c>
      <c r="P17" s="4"/>
      <c r="Q17" s="3">
        <f t="shared" ca="1" si="3"/>
        <v>9.9999999999999645E-2</v>
      </c>
      <c r="R17" s="3">
        <f t="shared" ca="1" si="4"/>
        <v>0.29999999999999982</v>
      </c>
      <c r="S17" s="3">
        <f t="shared" ca="1" si="5"/>
        <v>1.0999999999999996</v>
      </c>
      <c r="T17" s="3">
        <f t="shared" ca="1" si="6"/>
        <v>0.10000000000000009</v>
      </c>
      <c r="U17" s="3">
        <f t="shared" ca="1" si="7"/>
        <v>1.2649110640673513</v>
      </c>
      <c r="V17" s="2">
        <f t="shared" si="8"/>
        <v>13</v>
      </c>
      <c r="X17" s="17"/>
      <c r="Z17" s="2"/>
      <c r="AD17" s="2" t="str">
        <f t="shared" ca="1" si="0"/>
        <v xml:space="preserve"> </v>
      </c>
      <c r="AE17" s="21">
        <v>13</v>
      </c>
      <c r="AF17" s="3">
        <v>6.5</v>
      </c>
      <c r="AG17" s="3">
        <v>3</v>
      </c>
      <c r="AH17" s="3">
        <v>5.5</v>
      </c>
      <c r="AI17" s="3">
        <v>1.8</v>
      </c>
      <c r="AJ17" s="2">
        <v>2</v>
      </c>
      <c r="AK17" s="2">
        <v>2</v>
      </c>
      <c r="AL17" s="2">
        <v>2</v>
      </c>
      <c r="AM17" s="2">
        <f t="shared" si="9"/>
        <v>1</v>
      </c>
      <c r="AN17" s="2">
        <f t="shared" si="10"/>
        <v>1</v>
      </c>
      <c r="AO17" s="1" t="str">
        <f t="shared" ca="1" si="11"/>
        <v/>
      </c>
    </row>
    <row r="18" spans="1:41" x14ac:dyDescent="0.3">
      <c r="A18" s="2">
        <v>14</v>
      </c>
      <c r="B18" s="3" t="str">
        <f t="shared" si="1"/>
        <v>5,841,20,2</v>
      </c>
      <c r="C18" s="3">
        <v>5.8</v>
      </c>
      <c r="D18" s="3">
        <v>4</v>
      </c>
      <c r="E18" s="3">
        <v>1.2</v>
      </c>
      <c r="F18" s="3">
        <v>0.2</v>
      </c>
      <c r="G18" s="5">
        <v>0</v>
      </c>
      <c r="H18" s="2" t="s">
        <v>5</v>
      </c>
      <c r="J18" s="2">
        <v>14</v>
      </c>
      <c r="K18" s="3">
        <v>5.5</v>
      </c>
      <c r="L18" s="3">
        <v>2.4</v>
      </c>
      <c r="M18" s="3">
        <v>3.8</v>
      </c>
      <c r="N18" s="3">
        <v>1.1000000000000001</v>
      </c>
      <c r="O18" s="5">
        <f t="shared" si="2"/>
        <v>1</v>
      </c>
      <c r="P18" s="4"/>
      <c r="Q18" s="3">
        <f t="shared" ca="1" si="3"/>
        <v>0.59999999999999964</v>
      </c>
      <c r="R18" s="3">
        <f t="shared" ca="1" si="4"/>
        <v>0.20000000000000018</v>
      </c>
      <c r="S18" s="3">
        <f t="shared" ca="1" si="5"/>
        <v>1.7999999999999998</v>
      </c>
      <c r="T18" s="3">
        <f t="shared" ca="1" si="6"/>
        <v>0.29999999999999982</v>
      </c>
      <c r="U18" s="3">
        <f t="shared" ca="1" si="7"/>
        <v>1.70293863659264</v>
      </c>
      <c r="V18" s="2">
        <f t="shared" si="8"/>
        <v>14</v>
      </c>
      <c r="X18" s="17"/>
      <c r="Z18" s="2"/>
      <c r="AD18" s="2" t="str">
        <f t="shared" ca="1" si="0"/>
        <v xml:space="preserve"> </v>
      </c>
      <c r="AE18" s="21">
        <v>14</v>
      </c>
      <c r="AF18" s="3">
        <v>5.2</v>
      </c>
      <c r="AG18" s="3">
        <v>3.4</v>
      </c>
      <c r="AH18" s="3">
        <v>1.4</v>
      </c>
      <c r="AI18" s="3">
        <v>0.2</v>
      </c>
      <c r="AJ18" s="2">
        <v>0</v>
      </c>
      <c r="AK18" s="2">
        <v>0</v>
      </c>
      <c r="AL18" s="2">
        <v>0</v>
      </c>
      <c r="AM18" s="2">
        <f t="shared" si="9"/>
        <v>1</v>
      </c>
      <c r="AN18" s="2">
        <f t="shared" si="10"/>
        <v>1</v>
      </c>
      <c r="AO18" s="1" t="str">
        <f t="shared" ca="1" si="11"/>
        <v/>
      </c>
    </row>
    <row r="19" spans="1:41" x14ac:dyDescent="0.3">
      <c r="A19" s="2">
        <v>15</v>
      </c>
      <c r="B19" s="3" t="str">
        <f t="shared" si="1"/>
        <v>5,74,41,50,4</v>
      </c>
      <c r="C19" s="3">
        <v>5.7</v>
      </c>
      <c r="D19" s="3">
        <v>4.4000000000000004</v>
      </c>
      <c r="E19" s="3">
        <v>1.5</v>
      </c>
      <c r="F19" s="3">
        <v>0.4</v>
      </c>
      <c r="G19" s="5">
        <v>0</v>
      </c>
      <c r="H19" s="2" t="s">
        <v>5</v>
      </c>
      <c r="J19" s="2">
        <v>15</v>
      </c>
      <c r="K19" s="3">
        <v>7.2</v>
      </c>
      <c r="L19" s="3">
        <v>3.2</v>
      </c>
      <c r="M19" s="3">
        <v>6</v>
      </c>
      <c r="N19" s="3">
        <v>1.8</v>
      </c>
      <c r="O19" s="5">
        <f t="shared" si="2"/>
        <v>2</v>
      </c>
      <c r="P19" s="4"/>
      <c r="Q19" s="3">
        <f t="shared" ca="1" si="3"/>
        <v>1.1000000000000005</v>
      </c>
      <c r="R19" s="3">
        <f t="shared" ca="1" si="4"/>
        <v>0.60000000000000009</v>
      </c>
      <c r="S19" s="3">
        <f t="shared" ca="1" si="5"/>
        <v>0.40000000000000036</v>
      </c>
      <c r="T19" s="3">
        <f t="shared" ca="1" si="6"/>
        <v>0.40000000000000013</v>
      </c>
      <c r="U19" s="3">
        <f t="shared" ca="1" si="7"/>
        <v>1.58113883008419</v>
      </c>
      <c r="V19" s="2">
        <f t="shared" si="8"/>
        <v>15</v>
      </c>
      <c r="X19" s="17"/>
      <c r="Z19" s="2"/>
      <c r="AD19" s="2" t="str">
        <f t="shared" ca="1" si="0"/>
        <v xml:space="preserve"> </v>
      </c>
      <c r="AE19" s="21">
        <v>15</v>
      </c>
      <c r="AF19" s="3">
        <v>6.2</v>
      </c>
      <c r="AG19" s="3">
        <v>3.4</v>
      </c>
      <c r="AH19" s="3">
        <v>5.4</v>
      </c>
      <c r="AI19" s="3">
        <v>2.2999999999999998</v>
      </c>
      <c r="AJ19" s="2">
        <v>2</v>
      </c>
      <c r="AK19" s="2">
        <v>2</v>
      </c>
      <c r="AL19" s="2">
        <v>2</v>
      </c>
      <c r="AM19" s="2">
        <f t="shared" si="9"/>
        <v>1</v>
      </c>
      <c r="AN19" s="2">
        <f t="shared" si="10"/>
        <v>1</v>
      </c>
      <c r="AO19" s="1" t="str">
        <f t="shared" ca="1" si="11"/>
        <v/>
      </c>
    </row>
    <row r="20" spans="1:41" x14ac:dyDescent="0.3">
      <c r="A20" s="2">
        <v>16</v>
      </c>
      <c r="B20" s="3" t="str">
        <f t="shared" si="1"/>
        <v>5,43,91,30,4</v>
      </c>
      <c r="C20" s="3">
        <v>5.4</v>
      </c>
      <c r="D20" s="3">
        <v>3.9</v>
      </c>
      <c r="E20" s="3">
        <v>1.3</v>
      </c>
      <c r="F20" s="3">
        <v>0.4</v>
      </c>
      <c r="G20" s="5">
        <v>0</v>
      </c>
      <c r="H20" s="2" t="s">
        <v>5</v>
      </c>
      <c r="J20" s="2">
        <v>16</v>
      </c>
      <c r="K20" s="3">
        <v>5</v>
      </c>
      <c r="L20" s="3">
        <v>3.4</v>
      </c>
      <c r="M20" s="3">
        <v>1.6</v>
      </c>
      <c r="N20" s="3">
        <v>0.4</v>
      </c>
      <c r="O20" s="5">
        <f t="shared" si="2"/>
        <v>0</v>
      </c>
      <c r="P20" s="4"/>
      <c r="Q20" s="3">
        <f t="shared" ca="1" si="3"/>
        <v>1.0999999999999996</v>
      </c>
      <c r="R20" s="3">
        <f t="shared" ca="1" si="4"/>
        <v>0.79999999999999982</v>
      </c>
      <c r="S20" s="3">
        <f t="shared" ca="1" si="5"/>
        <v>3.9999999999999996</v>
      </c>
      <c r="T20" s="3">
        <f t="shared" ca="1" si="6"/>
        <v>0.99999999999999989</v>
      </c>
      <c r="U20" s="3">
        <f t="shared" ca="1" si="7"/>
        <v>2.6267851073127391</v>
      </c>
      <c r="V20" s="2">
        <f t="shared" si="8"/>
        <v>16</v>
      </c>
      <c r="X20" s="17"/>
      <c r="Z20" s="2"/>
      <c r="AD20" s="2" t="str">
        <f t="shared" ca="1" si="0"/>
        <v xml:space="preserve"> </v>
      </c>
      <c r="AE20" s="21">
        <v>16</v>
      </c>
      <c r="AF20" s="3">
        <v>4.9000000000000004</v>
      </c>
      <c r="AG20" s="3">
        <v>2.4</v>
      </c>
      <c r="AH20" s="3">
        <v>3.3</v>
      </c>
      <c r="AI20" s="3">
        <v>1</v>
      </c>
      <c r="AJ20" s="2">
        <v>1</v>
      </c>
      <c r="AK20" s="2">
        <v>1</v>
      </c>
      <c r="AL20" s="2">
        <v>1</v>
      </c>
      <c r="AM20" s="2">
        <f t="shared" si="9"/>
        <v>1</v>
      </c>
      <c r="AN20" s="2">
        <f t="shared" si="10"/>
        <v>1</v>
      </c>
      <c r="AO20" s="1" t="str">
        <f t="shared" ca="1" si="11"/>
        <v/>
      </c>
    </row>
    <row r="21" spans="1:41" x14ac:dyDescent="0.3">
      <c r="A21" s="2">
        <v>17</v>
      </c>
      <c r="B21" s="3" t="str">
        <f t="shared" si="1"/>
        <v>5,13,51,40,3</v>
      </c>
      <c r="C21" s="3">
        <v>5.0999999999999996</v>
      </c>
      <c r="D21" s="3">
        <v>3.5</v>
      </c>
      <c r="E21" s="3">
        <v>1.4</v>
      </c>
      <c r="F21" s="3">
        <v>0.3</v>
      </c>
      <c r="G21" s="5">
        <v>0</v>
      </c>
      <c r="H21" s="2" t="s">
        <v>5</v>
      </c>
      <c r="J21" s="2">
        <v>17</v>
      </c>
      <c r="K21" s="3">
        <v>4.7</v>
      </c>
      <c r="L21" s="3">
        <v>3.2</v>
      </c>
      <c r="M21" s="3">
        <v>1.6</v>
      </c>
      <c r="N21" s="3">
        <v>0.2</v>
      </c>
      <c r="O21" s="5">
        <f t="shared" si="2"/>
        <v>0</v>
      </c>
      <c r="P21" s="4"/>
      <c r="Q21" s="3">
        <f t="shared" ca="1" si="3"/>
        <v>1.3999999999999995</v>
      </c>
      <c r="R21" s="3">
        <f t="shared" ca="1" si="4"/>
        <v>0.60000000000000009</v>
      </c>
      <c r="S21" s="3">
        <f t="shared" ca="1" si="5"/>
        <v>3.9999999999999996</v>
      </c>
      <c r="T21" s="3">
        <f t="shared" ca="1" si="6"/>
        <v>1.2</v>
      </c>
      <c r="U21" s="3">
        <f t="shared" ca="1" si="7"/>
        <v>2.6832815729997477</v>
      </c>
      <c r="V21" s="2">
        <f t="shared" si="8"/>
        <v>17</v>
      </c>
      <c r="X21" s="17"/>
      <c r="Z21" s="2"/>
      <c r="AD21" s="2" t="str">
        <f t="shared" ca="1" si="0"/>
        <v xml:space="preserve"> </v>
      </c>
      <c r="AE21" s="21">
        <v>17</v>
      </c>
      <c r="AF21" s="3">
        <v>5.4</v>
      </c>
      <c r="AG21" s="3">
        <v>3.7</v>
      </c>
      <c r="AH21" s="3">
        <v>1.5</v>
      </c>
      <c r="AI21" s="3">
        <v>0.2</v>
      </c>
      <c r="AJ21" s="2">
        <v>0</v>
      </c>
      <c r="AK21" s="2">
        <v>0</v>
      </c>
      <c r="AL21" s="2">
        <v>0</v>
      </c>
      <c r="AM21" s="2">
        <f t="shared" si="9"/>
        <v>1</v>
      </c>
      <c r="AN21" s="2">
        <f t="shared" si="10"/>
        <v>1</v>
      </c>
      <c r="AO21" s="1" t="str">
        <f t="shared" ca="1" si="11"/>
        <v/>
      </c>
    </row>
    <row r="22" spans="1:41" x14ac:dyDescent="0.3">
      <c r="A22" s="2">
        <v>18</v>
      </c>
      <c r="B22" s="3" t="str">
        <f t="shared" si="1"/>
        <v>5,73,81,70,3</v>
      </c>
      <c r="C22" s="3">
        <v>5.7</v>
      </c>
      <c r="D22" s="3">
        <v>3.8</v>
      </c>
      <c r="E22" s="3">
        <v>1.7</v>
      </c>
      <c r="F22" s="3">
        <v>0.3</v>
      </c>
      <c r="G22" s="5">
        <v>0</v>
      </c>
      <c r="H22" s="2" t="s">
        <v>5</v>
      </c>
      <c r="J22" s="2">
        <v>18</v>
      </c>
      <c r="K22" s="3">
        <v>6.7</v>
      </c>
      <c r="L22" s="3">
        <v>3.3</v>
      </c>
      <c r="M22" s="3">
        <v>5.7</v>
      </c>
      <c r="N22" s="3">
        <v>2.5</v>
      </c>
      <c r="O22" s="5">
        <f t="shared" si="2"/>
        <v>2</v>
      </c>
      <c r="P22" s="4"/>
      <c r="Q22" s="3">
        <f t="shared" ca="1" si="3"/>
        <v>0.60000000000000053</v>
      </c>
      <c r="R22" s="3">
        <f t="shared" ca="1" si="4"/>
        <v>0.69999999999999973</v>
      </c>
      <c r="S22" s="3">
        <f t="shared" ca="1" si="5"/>
        <v>0.10000000000000053</v>
      </c>
      <c r="T22" s="3">
        <f t="shared" ca="1" si="6"/>
        <v>1.1000000000000001</v>
      </c>
      <c r="U22" s="3">
        <f t="shared" ca="1" si="7"/>
        <v>1.58113883008419</v>
      </c>
      <c r="V22" s="2">
        <f t="shared" si="8"/>
        <v>18</v>
      </c>
      <c r="X22" s="17"/>
      <c r="Z22" s="2"/>
      <c r="AD22" s="2" t="str">
        <f t="shared" ca="1" si="0"/>
        <v xml:space="preserve"> </v>
      </c>
      <c r="AE22" s="21">
        <v>18</v>
      </c>
      <c r="AF22" s="3">
        <v>5.0999999999999996</v>
      </c>
      <c r="AG22" s="3">
        <v>3.3</v>
      </c>
      <c r="AH22" s="3">
        <v>1.7</v>
      </c>
      <c r="AI22" s="3">
        <v>0.5</v>
      </c>
      <c r="AJ22" s="2">
        <v>0</v>
      </c>
      <c r="AK22" s="2">
        <v>0</v>
      </c>
      <c r="AL22" s="2">
        <v>0</v>
      </c>
      <c r="AM22" s="2">
        <f t="shared" si="9"/>
        <v>1</v>
      </c>
      <c r="AN22" s="2">
        <f t="shared" si="10"/>
        <v>1</v>
      </c>
      <c r="AO22" s="1" t="str">
        <f t="shared" ca="1" si="11"/>
        <v/>
      </c>
    </row>
    <row r="23" spans="1:41" x14ac:dyDescent="0.3">
      <c r="A23" s="2">
        <v>19</v>
      </c>
      <c r="B23" s="3" t="str">
        <f t="shared" si="1"/>
        <v>5,13,81,50,3</v>
      </c>
      <c r="C23" s="3">
        <v>5.0999999999999996</v>
      </c>
      <c r="D23" s="3">
        <v>3.8</v>
      </c>
      <c r="E23" s="3">
        <v>1.5</v>
      </c>
      <c r="F23" s="3">
        <v>0.3</v>
      </c>
      <c r="G23" s="5">
        <v>0</v>
      </c>
      <c r="H23" s="2" t="s">
        <v>5</v>
      </c>
      <c r="J23" s="2">
        <v>19</v>
      </c>
      <c r="K23" s="3">
        <v>5.9</v>
      </c>
      <c r="L23" s="3">
        <v>3.2</v>
      </c>
      <c r="M23" s="3">
        <v>4.8</v>
      </c>
      <c r="N23" s="3">
        <v>1.8</v>
      </c>
      <c r="O23" s="5">
        <f t="shared" si="2"/>
        <v>1</v>
      </c>
      <c r="P23" s="4"/>
      <c r="Q23" s="3">
        <f t="shared" ca="1" si="3"/>
        <v>0.19999999999999929</v>
      </c>
      <c r="R23" s="3">
        <f t="shared" ca="1" si="4"/>
        <v>0.60000000000000009</v>
      </c>
      <c r="S23" s="3">
        <f t="shared" ca="1" si="5"/>
        <v>0.79999999999999982</v>
      </c>
      <c r="T23" s="3">
        <f t="shared" ca="1" si="6"/>
        <v>0.40000000000000013</v>
      </c>
      <c r="U23" s="3">
        <f t="shared" ca="1" si="7"/>
        <v>1.4142135623730949</v>
      </c>
      <c r="V23" s="2">
        <f t="shared" si="8"/>
        <v>19</v>
      </c>
      <c r="X23" s="17"/>
      <c r="Z23" s="2"/>
      <c r="AD23" s="2" t="str">
        <f t="shared" ca="1" si="0"/>
        <v xml:space="preserve"> </v>
      </c>
      <c r="AE23" s="21">
        <v>19</v>
      </c>
      <c r="AF23" s="3">
        <v>5.7</v>
      </c>
      <c r="AG23" s="3">
        <v>3.8</v>
      </c>
      <c r="AH23" s="3">
        <v>1.7</v>
      </c>
      <c r="AI23" s="3">
        <v>0.3</v>
      </c>
      <c r="AJ23" s="2">
        <v>0</v>
      </c>
      <c r="AK23" s="2">
        <v>0</v>
      </c>
      <c r="AL23" s="2">
        <v>0</v>
      </c>
      <c r="AM23" s="2">
        <f t="shared" si="9"/>
        <v>1</v>
      </c>
      <c r="AN23" s="2">
        <f t="shared" si="10"/>
        <v>1</v>
      </c>
      <c r="AO23" s="1" t="str">
        <f t="shared" ca="1" si="11"/>
        <v/>
      </c>
    </row>
    <row r="24" spans="1:41" x14ac:dyDescent="0.3">
      <c r="A24" s="2">
        <v>20</v>
      </c>
      <c r="B24" s="3" t="str">
        <f t="shared" si="1"/>
        <v>5,43,41,70,2</v>
      </c>
      <c r="C24" s="3">
        <v>5.4</v>
      </c>
      <c r="D24" s="3">
        <v>3.4</v>
      </c>
      <c r="E24" s="3">
        <v>1.7</v>
      </c>
      <c r="F24" s="3">
        <v>0.2</v>
      </c>
      <c r="G24" s="5">
        <v>0</v>
      </c>
      <c r="H24" s="2" t="s">
        <v>5</v>
      </c>
      <c r="J24" s="2">
        <v>20</v>
      </c>
      <c r="K24" s="3">
        <v>5.4</v>
      </c>
      <c r="L24" s="3">
        <v>3.4</v>
      </c>
      <c r="M24" s="3">
        <v>1.5</v>
      </c>
      <c r="N24" s="3">
        <v>0.4</v>
      </c>
      <c r="O24" s="5">
        <f t="shared" si="2"/>
        <v>0</v>
      </c>
      <c r="P24" s="4"/>
      <c r="Q24" s="3">
        <f t="shared" ca="1" si="3"/>
        <v>0.69999999999999929</v>
      </c>
      <c r="R24" s="3">
        <f t="shared" ca="1" si="4"/>
        <v>0.79999999999999982</v>
      </c>
      <c r="S24" s="3">
        <f t="shared" ca="1" si="5"/>
        <v>4.0999999999999996</v>
      </c>
      <c r="T24" s="3">
        <f t="shared" ca="1" si="6"/>
        <v>0.99999999999999989</v>
      </c>
      <c r="U24" s="3">
        <f t="shared" ca="1" si="7"/>
        <v>2.5690465157330258</v>
      </c>
      <c r="V24" s="2">
        <f t="shared" si="8"/>
        <v>20</v>
      </c>
      <c r="X24" s="17"/>
      <c r="Z24" s="2"/>
      <c r="AD24" s="2" t="str">
        <f t="shared" ca="1" si="0"/>
        <v xml:space="preserve"> </v>
      </c>
      <c r="AE24" s="21">
        <v>20</v>
      </c>
      <c r="AF24" s="3">
        <v>6.2</v>
      </c>
      <c r="AG24" s="3">
        <v>2.9</v>
      </c>
      <c r="AH24" s="3">
        <v>4.3</v>
      </c>
      <c r="AI24" s="3">
        <v>1.3</v>
      </c>
      <c r="AJ24" s="2">
        <v>1</v>
      </c>
      <c r="AK24" s="2">
        <v>1</v>
      </c>
      <c r="AL24" s="2">
        <v>1</v>
      </c>
      <c r="AM24" s="2">
        <f t="shared" si="9"/>
        <v>1</v>
      </c>
      <c r="AN24" s="2">
        <f t="shared" si="10"/>
        <v>1</v>
      </c>
      <c r="AO24" s="1" t="str">
        <f t="shared" ca="1" si="11"/>
        <v/>
      </c>
    </row>
    <row r="25" spans="1:41" x14ac:dyDescent="0.3">
      <c r="A25" s="2">
        <v>21</v>
      </c>
      <c r="B25" s="3" t="str">
        <f t="shared" si="1"/>
        <v>5,13,71,50,4</v>
      </c>
      <c r="C25" s="3">
        <v>5.0999999999999996</v>
      </c>
      <c r="D25" s="3">
        <v>3.7</v>
      </c>
      <c r="E25" s="3">
        <v>1.5</v>
      </c>
      <c r="F25" s="3">
        <v>0.4</v>
      </c>
      <c r="G25" s="5">
        <v>0</v>
      </c>
      <c r="H25" s="2" t="s">
        <v>5</v>
      </c>
      <c r="J25" s="2">
        <v>21</v>
      </c>
      <c r="K25" s="3">
        <v>6.3</v>
      </c>
      <c r="L25" s="3">
        <v>2.7</v>
      </c>
      <c r="M25" s="3">
        <v>4.9000000000000004</v>
      </c>
      <c r="N25" s="3">
        <v>1.8</v>
      </c>
      <c r="O25" s="5">
        <f t="shared" si="2"/>
        <v>2</v>
      </c>
      <c r="P25" s="4"/>
      <c r="Q25" s="3">
        <f t="shared" ca="1" si="3"/>
        <v>0.20000000000000018</v>
      </c>
      <c r="R25" s="3">
        <f t="shared" ca="1" si="4"/>
        <v>0.10000000000000009</v>
      </c>
      <c r="S25" s="3">
        <f t="shared" ca="1" si="5"/>
        <v>0.69999999999999929</v>
      </c>
      <c r="T25" s="3">
        <f t="shared" ca="1" si="6"/>
        <v>0.40000000000000013</v>
      </c>
      <c r="U25" s="3">
        <f t="shared" ca="1" si="7"/>
        <v>1.1832159566199232</v>
      </c>
      <c r="V25" s="2">
        <f t="shared" si="8"/>
        <v>21</v>
      </c>
      <c r="X25" s="17"/>
      <c r="Z25" s="2"/>
      <c r="AD25" s="2" t="str">
        <f t="shared" ca="1" si="0"/>
        <v xml:space="preserve"> </v>
      </c>
      <c r="AE25" s="21">
        <v>21</v>
      </c>
      <c r="AF25" s="3">
        <v>5</v>
      </c>
      <c r="AG25" s="3">
        <v>3.4</v>
      </c>
      <c r="AH25" s="3">
        <v>1.5</v>
      </c>
      <c r="AI25" s="3">
        <v>0.2</v>
      </c>
      <c r="AJ25" s="2">
        <v>0</v>
      </c>
      <c r="AK25" s="2">
        <v>0</v>
      </c>
      <c r="AL25" s="2">
        <v>0</v>
      </c>
      <c r="AM25" s="2">
        <f t="shared" si="9"/>
        <v>1</v>
      </c>
      <c r="AN25" s="2">
        <f t="shared" si="10"/>
        <v>1</v>
      </c>
      <c r="AO25" s="1" t="str">
        <f t="shared" ca="1" si="11"/>
        <v/>
      </c>
    </row>
    <row r="26" spans="1:41" x14ac:dyDescent="0.3">
      <c r="A26" s="2">
        <v>22</v>
      </c>
      <c r="B26" s="3" t="str">
        <f t="shared" si="1"/>
        <v>4,63,610,2</v>
      </c>
      <c r="C26" s="3">
        <v>4.5999999999999996</v>
      </c>
      <c r="D26" s="3">
        <v>3.6</v>
      </c>
      <c r="E26" s="3">
        <v>1</v>
      </c>
      <c r="F26" s="3">
        <v>0.2</v>
      </c>
      <c r="G26" s="5">
        <v>0</v>
      </c>
      <c r="H26" s="2" t="s">
        <v>5</v>
      </c>
      <c r="J26" s="2">
        <v>22</v>
      </c>
      <c r="K26" s="3">
        <v>7.6</v>
      </c>
      <c r="L26" s="3">
        <v>3</v>
      </c>
      <c r="M26" s="3">
        <v>6.6</v>
      </c>
      <c r="N26" s="3">
        <v>2.1</v>
      </c>
      <c r="O26" s="5">
        <f t="shared" si="2"/>
        <v>2</v>
      </c>
      <c r="P26" s="4"/>
      <c r="Q26" s="3">
        <f t="shared" ca="1" si="3"/>
        <v>1.5</v>
      </c>
      <c r="R26" s="3">
        <f t="shared" ca="1" si="4"/>
        <v>0.39999999999999991</v>
      </c>
      <c r="S26" s="3">
        <f t="shared" ca="1" si="5"/>
        <v>1</v>
      </c>
      <c r="T26" s="3">
        <f t="shared" ca="1" si="6"/>
        <v>0.70000000000000018</v>
      </c>
      <c r="U26" s="3">
        <f t="shared" ca="1" si="7"/>
        <v>1.8973665961010275</v>
      </c>
      <c r="V26" s="2">
        <f t="shared" si="8"/>
        <v>22</v>
      </c>
      <c r="X26" s="17"/>
      <c r="AD26" s="2" t="str">
        <f t="shared" ca="1" si="0"/>
        <v xml:space="preserve"> </v>
      </c>
      <c r="AE26" s="21">
        <v>22</v>
      </c>
      <c r="AF26" s="3">
        <v>6.6</v>
      </c>
      <c r="AG26" s="3">
        <v>3</v>
      </c>
      <c r="AH26" s="3">
        <v>4.4000000000000004</v>
      </c>
      <c r="AI26" s="3">
        <v>1.4</v>
      </c>
      <c r="AJ26" s="2">
        <v>1</v>
      </c>
      <c r="AK26" s="2">
        <v>1</v>
      </c>
      <c r="AL26" s="2">
        <v>1</v>
      </c>
      <c r="AM26" s="2">
        <f t="shared" si="9"/>
        <v>1</v>
      </c>
      <c r="AN26" s="2">
        <f t="shared" si="10"/>
        <v>1</v>
      </c>
      <c r="AO26" s="1" t="str">
        <f t="shared" ca="1" si="11"/>
        <v/>
      </c>
    </row>
    <row r="27" spans="1:41" x14ac:dyDescent="0.3">
      <c r="A27" s="2">
        <v>23</v>
      </c>
      <c r="B27" s="3" t="str">
        <f t="shared" si="1"/>
        <v>5,13,31,70,5</v>
      </c>
      <c r="C27" s="3">
        <v>5.0999999999999996</v>
      </c>
      <c r="D27" s="3">
        <v>3.3</v>
      </c>
      <c r="E27" s="3">
        <v>1.7</v>
      </c>
      <c r="F27" s="3">
        <v>0.5</v>
      </c>
      <c r="G27" s="5">
        <v>0</v>
      </c>
      <c r="H27" s="2" t="s">
        <v>5</v>
      </c>
      <c r="J27" s="2">
        <v>23</v>
      </c>
      <c r="K27" s="3">
        <v>7.7</v>
      </c>
      <c r="L27" s="3">
        <v>2.8</v>
      </c>
      <c r="M27" s="3">
        <v>6.7</v>
      </c>
      <c r="N27" s="3">
        <v>2</v>
      </c>
      <c r="O27" s="5">
        <f t="shared" si="2"/>
        <v>2</v>
      </c>
      <c r="P27" s="4"/>
      <c r="Q27" s="3">
        <f t="shared" ca="1" si="3"/>
        <v>1.6000000000000005</v>
      </c>
      <c r="R27" s="3">
        <f t="shared" ca="1" si="4"/>
        <v>0.19999999999999973</v>
      </c>
      <c r="S27" s="3">
        <f t="shared" ca="1" si="5"/>
        <v>1.1000000000000005</v>
      </c>
      <c r="T27" s="3">
        <f t="shared" ca="1" si="6"/>
        <v>0.60000000000000009</v>
      </c>
      <c r="U27" s="3">
        <f t="shared" ca="1" si="7"/>
        <v>1.8708286933869709</v>
      </c>
      <c r="V27" s="2">
        <f t="shared" si="8"/>
        <v>23</v>
      </c>
      <c r="X27" s="17"/>
      <c r="AD27" s="2" t="str">
        <f t="shared" ca="1" si="0"/>
        <v xml:space="preserve"> </v>
      </c>
      <c r="AE27" s="21">
        <v>23</v>
      </c>
      <c r="AF27" s="3">
        <v>6.5</v>
      </c>
      <c r="AG27" s="3">
        <v>3</v>
      </c>
      <c r="AH27" s="3">
        <v>5.8</v>
      </c>
      <c r="AI27" s="3">
        <v>2.2000000000000002</v>
      </c>
      <c r="AJ27" s="2">
        <v>2</v>
      </c>
      <c r="AK27" s="2">
        <v>2</v>
      </c>
      <c r="AL27" s="2">
        <v>2</v>
      </c>
      <c r="AM27" s="2">
        <f t="shared" si="9"/>
        <v>1</v>
      </c>
      <c r="AN27" s="2">
        <f t="shared" si="10"/>
        <v>1</v>
      </c>
      <c r="AO27" s="1" t="str">
        <f t="shared" ca="1" si="11"/>
        <v/>
      </c>
    </row>
    <row r="28" spans="1:41" x14ac:dyDescent="0.3">
      <c r="A28" s="2">
        <v>24</v>
      </c>
      <c r="B28" s="3" t="str">
        <f t="shared" si="1"/>
        <v>4,83,41,90,2</v>
      </c>
      <c r="C28" s="3">
        <v>4.8</v>
      </c>
      <c r="D28" s="3">
        <v>3.4</v>
      </c>
      <c r="E28" s="3">
        <v>1.9</v>
      </c>
      <c r="F28" s="3">
        <v>0.2</v>
      </c>
      <c r="G28" s="5">
        <v>0</v>
      </c>
      <c r="H28" s="2" t="s">
        <v>5</v>
      </c>
      <c r="J28" s="2">
        <v>24</v>
      </c>
      <c r="K28" s="3">
        <v>5.7</v>
      </c>
      <c r="L28" s="3">
        <v>3</v>
      </c>
      <c r="M28" s="3">
        <v>4.2</v>
      </c>
      <c r="N28" s="3">
        <v>1.2</v>
      </c>
      <c r="O28" s="5">
        <f t="shared" si="2"/>
        <v>1</v>
      </c>
      <c r="P28" s="4"/>
      <c r="Q28" s="3">
        <f t="shared" ca="1" si="3"/>
        <v>0.39999999999999947</v>
      </c>
      <c r="R28" s="3">
        <f t="shared" ca="1" si="4"/>
        <v>0.39999999999999991</v>
      </c>
      <c r="S28" s="3">
        <f t="shared" ca="1" si="5"/>
        <v>1.3999999999999995</v>
      </c>
      <c r="T28" s="3">
        <f t="shared" ca="1" si="6"/>
        <v>0.19999999999999996</v>
      </c>
      <c r="U28" s="3">
        <f t="shared" ca="1" si="7"/>
        <v>1.5491933384829664</v>
      </c>
      <c r="V28" s="2">
        <f t="shared" si="8"/>
        <v>24</v>
      </c>
      <c r="X28" s="17"/>
      <c r="AD28" s="2" t="str">
        <f t="shared" ca="1" si="0"/>
        <v xml:space="preserve"> </v>
      </c>
      <c r="AE28" s="21">
        <v>24</v>
      </c>
      <c r="AF28" s="3">
        <v>6</v>
      </c>
      <c r="AG28" s="3">
        <v>3</v>
      </c>
      <c r="AH28" s="3">
        <v>4.8</v>
      </c>
      <c r="AI28" s="3">
        <v>1.8</v>
      </c>
      <c r="AJ28" s="2">
        <v>2</v>
      </c>
      <c r="AK28" s="2">
        <v>2</v>
      </c>
      <c r="AL28" s="2">
        <v>2</v>
      </c>
      <c r="AM28" s="2">
        <f t="shared" si="9"/>
        <v>1</v>
      </c>
      <c r="AN28" s="2">
        <f t="shared" si="10"/>
        <v>1</v>
      </c>
      <c r="AO28" s="1" t="str">
        <f t="shared" ca="1" si="11"/>
        <v/>
      </c>
    </row>
    <row r="29" spans="1:41" x14ac:dyDescent="0.3">
      <c r="A29" s="2">
        <v>25</v>
      </c>
      <c r="B29" s="3" t="str">
        <f t="shared" si="1"/>
        <v>531,60,2</v>
      </c>
      <c r="C29" s="3">
        <v>5</v>
      </c>
      <c r="D29" s="3">
        <v>3</v>
      </c>
      <c r="E29" s="3">
        <v>1.6</v>
      </c>
      <c r="F29" s="3">
        <v>0.2</v>
      </c>
      <c r="G29" s="5">
        <v>0</v>
      </c>
      <c r="H29" s="2" t="s">
        <v>5</v>
      </c>
      <c r="J29" s="2">
        <v>25</v>
      </c>
      <c r="K29" s="3">
        <v>4.5999999999999996</v>
      </c>
      <c r="L29" s="3">
        <v>3.4</v>
      </c>
      <c r="M29" s="3">
        <v>1.4</v>
      </c>
      <c r="N29" s="3">
        <v>0.3</v>
      </c>
      <c r="O29" s="5">
        <f t="shared" si="2"/>
        <v>0</v>
      </c>
      <c r="P29" s="4"/>
      <c r="Q29" s="3">
        <f t="shared" ca="1" si="3"/>
        <v>1.5</v>
      </c>
      <c r="R29" s="3">
        <f t="shared" ca="1" si="4"/>
        <v>0.79999999999999982</v>
      </c>
      <c r="S29" s="3">
        <f t="shared" ca="1" si="5"/>
        <v>4.1999999999999993</v>
      </c>
      <c r="T29" s="3">
        <f t="shared" ca="1" si="6"/>
        <v>1.0999999999999999</v>
      </c>
      <c r="U29" s="3">
        <f t="shared" ca="1" si="7"/>
        <v>2.7568097504180442</v>
      </c>
      <c r="V29" s="2">
        <f t="shared" si="8"/>
        <v>25</v>
      </c>
      <c r="X29" s="17"/>
      <c r="AD29" s="2" t="str">
        <f t="shared" ca="1" si="0"/>
        <v xml:space="preserve"> </v>
      </c>
      <c r="AE29" s="21">
        <v>25</v>
      </c>
      <c r="AF29" s="3">
        <v>6.4</v>
      </c>
      <c r="AG29" s="3">
        <v>3.2</v>
      </c>
      <c r="AH29" s="3">
        <v>4.5</v>
      </c>
      <c r="AI29" s="3">
        <v>1.5</v>
      </c>
      <c r="AJ29" s="2">
        <v>1</v>
      </c>
      <c r="AK29" s="2">
        <v>1</v>
      </c>
      <c r="AL29" s="2">
        <v>1</v>
      </c>
      <c r="AM29" s="2">
        <f t="shared" si="9"/>
        <v>1</v>
      </c>
      <c r="AN29" s="2">
        <f t="shared" si="10"/>
        <v>1</v>
      </c>
      <c r="AO29" s="1" t="str">
        <f t="shared" ca="1" si="11"/>
        <v/>
      </c>
    </row>
    <row r="30" spans="1:41" x14ac:dyDescent="0.3">
      <c r="A30" s="2">
        <v>26</v>
      </c>
      <c r="B30" s="3" t="str">
        <f t="shared" si="1"/>
        <v>53,41,60,4</v>
      </c>
      <c r="C30" s="3">
        <v>5</v>
      </c>
      <c r="D30" s="3">
        <v>3.4</v>
      </c>
      <c r="E30" s="3">
        <v>1.6</v>
      </c>
      <c r="F30" s="3">
        <v>0.4</v>
      </c>
      <c r="G30" s="5">
        <v>0</v>
      </c>
      <c r="H30" s="2" t="s">
        <v>5</v>
      </c>
      <c r="J30" s="2">
        <v>26</v>
      </c>
      <c r="K30" s="3">
        <v>5.0999999999999996</v>
      </c>
      <c r="L30" s="3">
        <v>3.7</v>
      </c>
      <c r="M30" s="3">
        <v>1.5</v>
      </c>
      <c r="N30" s="3">
        <v>0.4</v>
      </c>
      <c r="O30" s="5">
        <f t="shared" si="2"/>
        <v>0</v>
      </c>
      <c r="P30" s="4"/>
      <c r="Q30" s="3">
        <f t="shared" ca="1" si="3"/>
        <v>1</v>
      </c>
      <c r="R30" s="3">
        <f t="shared" ca="1" si="4"/>
        <v>1.1000000000000001</v>
      </c>
      <c r="S30" s="3">
        <f t="shared" ca="1" si="5"/>
        <v>4.0999999999999996</v>
      </c>
      <c r="T30" s="3">
        <f t="shared" ca="1" si="6"/>
        <v>0.99999999999999989</v>
      </c>
      <c r="U30" s="3">
        <f t="shared" ca="1" si="7"/>
        <v>2.6832815729997477</v>
      </c>
      <c r="V30" s="2">
        <f t="shared" si="8"/>
        <v>26</v>
      </c>
      <c r="X30" s="17"/>
      <c r="AD30" s="2" t="str">
        <f t="shared" ca="1" si="0"/>
        <v xml:space="preserve"> </v>
      </c>
      <c r="AE30" s="21">
        <v>26</v>
      </c>
      <c r="AF30" s="3">
        <v>5.4</v>
      </c>
      <c r="AG30" s="3">
        <v>3</v>
      </c>
      <c r="AH30" s="3">
        <v>4.5</v>
      </c>
      <c r="AI30" s="3">
        <v>1.5</v>
      </c>
      <c r="AJ30" s="2">
        <v>1</v>
      </c>
      <c r="AK30" s="2">
        <v>1</v>
      </c>
      <c r="AL30" s="2">
        <v>1</v>
      </c>
      <c r="AM30" s="2">
        <f t="shared" si="9"/>
        <v>1</v>
      </c>
      <c r="AN30" s="2">
        <f t="shared" si="10"/>
        <v>1</v>
      </c>
      <c r="AO30" s="1" t="str">
        <f t="shared" ca="1" si="11"/>
        <v/>
      </c>
    </row>
    <row r="31" spans="1:41" x14ac:dyDescent="0.3">
      <c r="A31" s="2">
        <v>27</v>
      </c>
      <c r="B31" s="3" t="str">
        <f t="shared" si="1"/>
        <v>5,23,51,50,2</v>
      </c>
      <c r="C31" s="3">
        <v>5.2</v>
      </c>
      <c r="D31" s="3">
        <v>3.5</v>
      </c>
      <c r="E31" s="3">
        <v>1.5</v>
      </c>
      <c r="F31" s="3">
        <v>0.2</v>
      </c>
      <c r="G31" s="5">
        <v>0</v>
      </c>
      <c r="H31" s="2" t="s">
        <v>5</v>
      </c>
      <c r="J31" s="2">
        <v>27</v>
      </c>
      <c r="K31" s="3">
        <v>5.4</v>
      </c>
      <c r="L31" s="3">
        <v>3.9</v>
      </c>
      <c r="M31" s="3">
        <v>1.3</v>
      </c>
      <c r="N31" s="3">
        <v>0.4</v>
      </c>
      <c r="O31" s="5">
        <f t="shared" si="2"/>
        <v>0</v>
      </c>
      <c r="P31" s="4"/>
      <c r="Q31" s="3">
        <f t="shared" ca="1" si="3"/>
        <v>0.69999999999999929</v>
      </c>
      <c r="R31" s="3">
        <f t="shared" ca="1" si="4"/>
        <v>1.2999999999999998</v>
      </c>
      <c r="S31" s="3">
        <f t="shared" ca="1" si="5"/>
        <v>4.3</v>
      </c>
      <c r="T31" s="3">
        <f t="shared" ca="1" si="6"/>
        <v>0.99999999999999989</v>
      </c>
      <c r="U31" s="3">
        <f t="shared" ca="1" si="7"/>
        <v>2.7018512172212592</v>
      </c>
      <c r="V31" s="2">
        <f t="shared" si="8"/>
        <v>27</v>
      </c>
      <c r="X31" s="17"/>
      <c r="AD31" s="2" t="str">
        <f t="shared" ca="1" si="0"/>
        <v xml:space="preserve"> </v>
      </c>
      <c r="AE31" s="21">
        <v>27</v>
      </c>
      <c r="AF31" s="3">
        <v>5</v>
      </c>
      <c r="AG31" s="3">
        <v>2.2999999999999998</v>
      </c>
      <c r="AH31" s="3">
        <v>3.3</v>
      </c>
      <c r="AI31" s="3">
        <v>1</v>
      </c>
      <c r="AJ31" s="2">
        <v>1</v>
      </c>
      <c r="AK31" s="2">
        <v>1</v>
      </c>
      <c r="AL31" s="2">
        <v>1</v>
      </c>
      <c r="AM31" s="2">
        <f t="shared" si="9"/>
        <v>1</v>
      </c>
      <c r="AN31" s="2">
        <f t="shared" si="10"/>
        <v>1</v>
      </c>
      <c r="AO31" s="1" t="str">
        <f t="shared" ca="1" si="11"/>
        <v/>
      </c>
    </row>
    <row r="32" spans="1:41" x14ac:dyDescent="0.3">
      <c r="A32" s="2">
        <v>28</v>
      </c>
      <c r="B32" s="3" t="str">
        <f t="shared" si="1"/>
        <v>5,23,41,40,2</v>
      </c>
      <c r="C32" s="3">
        <v>5.2</v>
      </c>
      <c r="D32" s="3">
        <v>3.4</v>
      </c>
      <c r="E32" s="3">
        <v>1.4</v>
      </c>
      <c r="F32" s="3">
        <v>0.2</v>
      </c>
      <c r="G32" s="5">
        <v>0</v>
      </c>
      <c r="H32" s="2" t="s">
        <v>5</v>
      </c>
      <c r="J32" s="2">
        <v>28</v>
      </c>
      <c r="K32" s="3">
        <v>6.9</v>
      </c>
      <c r="L32" s="3">
        <v>3.1</v>
      </c>
      <c r="M32" s="3">
        <v>4.9000000000000004</v>
      </c>
      <c r="N32" s="3">
        <v>1.5</v>
      </c>
      <c r="O32" s="5">
        <f t="shared" si="2"/>
        <v>1</v>
      </c>
      <c r="P32" s="4"/>
      <c r="Q32" s="3">
        <f t="shared" ca="1" si="3"/>
        <v>0.80000000000000071</v>
      </c>
      <c r="R32" s="3">
        <f t="shared" ca="1" si="4"/>
        <v>0.5</v>
      </c>
      <c r="S32" s="3">
        <f t="shared" ca="1" si="5"/>
        <v>0.69999999999999929</v>
      </c>
      <c r="T32" s="3">
        <f t="shared" ca="1" si="6"/>
        <v>0.10000000000000009</v>
      </c>
      <c r="U32" s="3">
        <f t="shared" ca="1" si="7"/>
        <v>1.4491376746189439</v>
      </c>
      <c r="V32" s="2">
        <f t="shared" si="8"/>
        <v>28</v>
      </c>
      <c r="X32" s="17"/>
      <c r="AD32" s="2" t="str">
        <f t="shared" ca="1" si="0"/>
        <v xml:space="preserve"> </v>
      </c>
      <c r="AE32" s="21">
        <v>28</v>
      </c>
      <c r="AF32" s="3">
        <v>5.6</v>
      </c>
      <c r="AG32" s="3">
        <v>3</v>
      </c>
      <c r="AH32" s="3">
        <v>4.5</v>
      </c>
      <c r="AI32" s="3">
        <v>1.5</v>
      </c>
      <c r="AJ32" s="2">
        <v>1</v>
      </c>
      <c r="AK32" s="2">
        <v>1</v>
      </c>
      <c r="AL32" s="2">
        <v>1</v>
      </c>
      <c r="AM32" s="2">
        <f t="shared" si="9"/>
        <v>1</v>
      </c>
      <c r="AN32" s="2">
        <f t="shared" si="10"/>
        <v>1</v>
      </c>
      <c r="AO32" s="1" t="str">
        <f t="shared" ca="1" si="11"/>
        <v/>
      </c>
    </row>
    <row r="33" spans="1:41" x14ac:dyDescent="0.3">
      <c r="A33" s="2">
        <v>29</v>
      </c>
      <c r="B33" s="3" t="str">
        <f t="shared" si="1"/>
        <v>4,73,21,60,2</v>
      </c>
      <c r="C33" s="3">
        <v>4.7</v>
      </c>
      <c r="D33" s="3">
        <v>3.2</v>
      </c>
      <c r="E33" s="3">
        <v>1.6</v>
      </c>
      <c r="F33" s="3">
        <v>0.2</v>
      </c>
      <c r="G33" s="5">
        <v>0</v>
      </c>
      <c r="H33" s="2" t="s">
        <v>5</v>
      </c>
      <c r="J33" s="2">
        <v>29</v>
      </c>
      <c r="K33" s="3">
        <v>5.5</v>
      </c>
      <c r="L33" s="3">
        <v>2.5</v>
      </c>
      <c r="M33" s="3">
        <v>4</v>
      </c>
      <c r="N33" s="3">
        <v>1.3</v>
      </c>
      <c r="O33" s="5">
        <f t="shared" si="2"/>
        <v>1</v>
      </c>
      <c r="P33" s="4"/>
      <c r="Q33" s="3">
        <f t="shared" ca="1" si="3"/>
        <v>0.59999999999999964</v>
      </c>
      <c r="R33" s="3">
        <f t="shared" ca="1" si="4"/>
        <v>0.10000000000000009</v>
      </c>
      <c r="S33" s="3">
        <f t="shared" ca="1" si="5"/>
        <v>1.5999999999999996</v>
      </c>
      <c r="T33" s="3">
        <f t="shared" ca="1" si="6"/>
        <v>9.9999999999999867E-2</v>
      </c>
      <c r="U33" s="3">
        <f t="shared" ca="1" si="7"/>
        <v>1.5491933384829666</v>
      </c>
      <c r="V33" s="2">
        <f t="shared" si="8"/>
        <v>29</v>
      </c>
      <c r="X33" s="17"/>
      <c r="AD33" s="2" t="str">
        <f t="shared" ca="1" si="0"/>
        <v xml:space="preserve"> </v>
      </c>
      <c r="AE33" s="21">
        <v>29</v>
      </c>
      <c r="AF33" s="3">
        <v>5</v>
      </c>
      <c r="AG33" s="3">
        <v>3.2</v>
      </c>
      <c r="AH33" s="3">
        <v>1.2</v>
      </c>
      <c r="AI33" s="3">
        <v>0.2</v>
      </c>
      <c r="AJ33" s="2">
        <v>0</v>
      </c>
      <c r="AK33" s="2">
        <v>0</v>
      </c>
      <c r="AL33" s="2">
        <v>0</v>
      </c>
      <c r="AM33" s="2">
        <f t="shared" si="9"/>
        <v>1</v>
      </c>
      <c r="AN33" s="2">
        <f t="shared" si="10"/>
        <v>1</v>
      </c>
      <c r="AO33" s="1" t="str">
        <f t="shared" ca="1" si="11"/>
        <v/>
      </c>
    </row>
    <row r="34" spans="1:41" x14ac:dyDescent="0.3">
      <c r="A34" s="2">
        <v>30</v>
      </c>
      <c r="B34" s="3" t="str">
        <f t="shared" si="1"/>
        <v>4,83,11,60,2</v>
      </c>
      <c r="C34" s="3">
        <v>4.8</v>
      </c>
      <c r="D34" s="3">
        <v>3.1</v>
      </c>
      <c r="E34" s="3">
        <v>1.6</v>
      </c>
      <c r="F34" s="3">
        <v>0.2</v>
      </c>
      <c r="G34" s="5">
        <v>0</v>
      </c>
      <c r="H34" s="2" t="s">
        <v>5</v>
      </c>
      <c r="J34" s="2">
        <v>30</v>
      </c>
      <c r="K34" s="3">
        <v>5.7</v>
      </c>
      <c r="L34" s="3">
        <v>4.4000000000000004</v>
      </c>
      <c r="M34" s="3">
        <v>1.5</v>
      </c>
      <c r="N34" s="3">
        <v>0.4</v>
      </c>
      <c r="O34" s="5">
        <f t="shared" si="2"/>
        <v>0</v>
      </c>
      <c r="P34" s="4"/>
      <c r="Q34" s="3">
        <f t="shared" ca="1" si="3"/>
        <v>0.39999999999999947</v>
      </c>
      <c r="R34" s="3">
        <f t="shared" ca="1" si="4"/>
        <v>1.8000000000000003</v>
      </c>
      <c r="S34" s="3">
        <f t="shared" ca="1" si="5"/>
        <v>4.0999999999999996</v>
      </c>
      <c r="T34" s="3">
        <f t="shared" ca="1" si="6"/>
        <v>0.99999999999999989</v>
      </c>
      <c r="U34" s="3">
        <f t="shared" ca="1" si="7"/>
        <v>2.7018512172212592</v>
      </c>
      <c r="V34" s="2">
        <f t="shared" si="8"/>
        <v>30</v>
      </c>
      <c r="X34" s="17"/>
      <c r="AD34" s="2" t="str">
        <f t="shared" ca="1" si="0"/>
        <v xml:space="preserve">1 =&gt; </v>
      </c>
      <c r="AE34" s="21">
        <v>30</v>
      </c>
      <c r="AF34" s="3">
        <v>6.1</v>
      </c>
      <c r="AG34" s="3">
        <v>2.6</v>
      </c>
      <c r="AH34" s="3">
        <v>5.6</v>
      </c>
      <c r="AI34" s="3">
        <v>1.4</v>
      </c>
      <c r="AJ34" s="2">
        <v>2</v>
      </c>
      <c r="AK34" s="2">
        <v>1</v>
      </c>
      <c r="AL34" s="2">
        <v>2</v>
      </c>
      <c r="AM34" s="2">
        <f t="shared" ref="AM34:AM48" si="12">IF(AK34=AJ34,1,0)</f>
        <v>0</v>
      </c>
      <c r="AN34" s="2">
        <f t="shared" ref="AN34:AN48" si="13">IF(AL34=AJ34,1,0)</f>
        <v>1</v>
      </c>
      <c r="AO34" s="1" t="str">
        <f t="shared" ca="1" si="11"/>
        <v>OK</v>
      </c>
    </row>
    <row r="35" spans="1:41" x14ac:dyDescent="0.3">
      <c r="A35" s="2">
        <v>31</v>
      </c>
      <c r="B35" s="3" t="str">
        <f t="shared" si="1"/>
        <v>5,43,41,50,4</v>
      </c>
      <c r="C35" s="3">
        <v>5.4</v>
      </c>
      <c r="D35" s="3">
        <v>3.4</v>
      </c>
      <c r="E35" s="3">
        <v>1.5</v>
      </c>
      <c r="F35" s="3">
        <v>0.4</v>
      </c>
      <c r="G35" s="5">
        <v>0</v>
      </c>
      <c r="H35" s="2" t="s">
        <v>5</v>
      </c>
      <c r="J35" s="2">
        <v>31</v>
      </c>
      <c r="K35" s="3">
        <v>5.0999999999999996</v>
      </c>
      <c r="L35" s="3">
        <v>3.5</v>
      </c>
      <c r="M35" s="3">
        <v>1.4</v>
      </c>
      <c r="N35" s="3">
        <v>0.3</v>
      </c>
      <c r="O35" s="5">
        <f t="shared" si="2"/>
        <v>0</v>
      </c>
      <c r="P35" s="4"/>
      <c r="Q35" s="3">
        <f t="shared" ca="1" si="3"/>
        <v>1</v>
      </c>
      <c r="R35" s="3">
        <f t="shared" ca="1" si="4"/>
        <v>0.89999999999999991</v>
      </c>
      <c r="S35" s="3">
        <f t="shared" ca="1" si="5"/>
        <v>4.1999999999999993</v>
      </c>
      <c r="T35" s="3">
        <f t="shared" ca="1" si="6"/>
        <v>1.0999999999999999</v>
      </c>
      <c r="U35" s="3">
        <f t="shared" ca="1" si="7"/>
        <v>2.6832815729997477</v>
      </c>
      <c r="V35" s="2">
        <f t="shared" si="8"/>
        <v>31</v>
      </c>
      <c r="X35" s="17"/>
      <c r="AD35" s="2" t="str">
        <f t="shared" ca="1" si="0"/>
        <v xml:space="preserve"> </v>
      </c>
      <c r="AE35" s="21">
        <v>31</v>
      </c>
      <c r="AF35" s="3">
        <v>6.4</v>
      </c>
      <c r="AG35" s="3">
        <v>2.8</v>
      </c>
      <c r="AH35" s="3">
        <v>5.6</v>
      </c>
      <c r="AI35" s="3">
        <v>2.2000000000000002</v>
      </c>
      <c r="AJ35" s="2">
        <v>2</v>
      </c>
      <c r="AK35" s="2">
        <v>2</v>
      </c>
      <c r="AL35" s="2">
        <v>2</v>
      </c>
      <c r="AM35" s="2">
        <f t="shared" si="12"/>
        <v>1</v>
      </c>
      <c r="AN35" s="2">
        <f t="shared" si="13"/>
        <v>1</v>
      </c>
      <c r="AO35" s="1" t="str">
        <f t="shared" ca="1" si="11"/>
        <v/>
      </c>
    </row>
    <row r="36" spans="1:41" x14ac:dyDescent="0.3">
      <c r="A36" s="2">
        <v>32</v>
      </c>
      <c r="B36" s="3" t="str">
        <f t="shared" si="1"/>
        <v>5,24,11,50,1</v>
      </c>
      <c r="C36" s="3">
        <v>5.2</v>
      </c>
      <c r="D36" s="3">
        <v>4.0999999999999996</v>
      </c>
      <c r="E36" s="3">
        <v>1.5</v>
      </c>
      <c r="F36" s="3">
        <v>0.1</v>
      </c>
      <c r="G36" s="5">
        <v>0</v>
      </c>
      <c r="H36" s="2" t="s">
        <v>5</v>
      </c>
      <c r="J36" s="2">
        <v>32</v>
      </c>
      <c r="K36" s="3">
        <v>5.8</v>
      </c>
      <c r="L36" s="3">
        <v>2.7</v>
      </c>
      <c r="M36" s="3">
        <v>4.0999999999999996</v>
      </c>
      <c r="N36" s="3">
        <v>1</v>
      </c>
      <c r="O36" s="5">
        <f t="shared" si="2"/>
        <v>1</v>
      </c>
      <c r="P36" s="4"/>
      <c r="Q36" s="3">
        <f t="shared" ca="1" si="3"/>
        <v>0.29999999999999982</v>
      </c>
      <c r="R36" s="3">
        <f t="shared" ca="1" si="4"/>
        <v>0.10000000000000009</v>
      </c>
      <c r="S36" s="3">
        <f t="shared" ca="1" si="5"/>
        <v>1.5</v>
      </c>
      <c r="T36" s="3">
        <f t="shared" ca="1" si="6"/>
        <v>0.39999999999999991</v>
      </c>
      <c r="U36" s="3">
        <f t="shared" ca="1" si="7"/>
        <v>1.51657508881031</v>
      </c>
      <c r="V36" s="2">
        <f t="shared" si="8"/>
        <v>32</v>
      </c>
      <c r="X36" s="17"/>
      <c r="AD36" s="2" t="str">
        <f t="shared" ca="1" si="0"/>
        <v xml:space="preserve"> </v>
      </c>
      <c r="AE36" s="21">
        <v>32</v>
      </c>
      <c r="AF36" s="3">
        <v>6</v>
      </c>
      <c r="AG36" s="3">
        <v>3.4</v>
      </c>
      <c r="AH36" s="3">
        <v>4.5</v>
      </c>
      <c r="AI36" s="3">
        <v>1.6</v>
      </c>
      <c r="AJ36" s="2">
        <v>1</v>
      </c>
      <c r="AK36" s="2">
        <v>1</v>
      </c>
      <c r="AL36" s="2">
        <v>1</v>
      </c>
      <c r="AM36" s="2">
        <f t="shared" si="12"/>
        <v>1</v>
      </c>
      <c r="AN36" s="2">
        <f t="shared" si="13"/>
        <v>1</v>
      </c>
      <c r="AO36" s="1" t="str">
        <f t="shared" ca="1" si="11"/>
        <v/>
      </c>
    </row>
    <row r="37" spans="1:41" x14ac:dyDescent="0.3">
      <c r="A37" s="2">
        <v>33</v>
      </c>
      <c r="B37" s="3" t="str">
        <f t="shared" si="1"/>
        <v>5,54,21,40,2</v>
      </c>
      <c r="C37" s="3">
        <v>5.5</v>
      </c>
      <c r="D37" s="3">
        <v>4.2</v>
      </c>
      <c r="E37" s="3">
        <v>1.4</v>
      </c>
      <c r="F37" s="3">
        <v>0.2</v>
      </c>
      <c r="G37" s="5">
        <v>0</v>
      </c>
      <c r="H37" s="2" t="s">
        <v>5</v>
      </c>
      <c r="J37" s="2">
        <v>33</v>
      </c>
      <c r="K37" s="3">
        <v>5.6</v>
      </c>
      <c r="L37" s="3">
        <v>2.9</v>
      </c>
      <c r="M37" s="3">
        <v>3.6</v>
      </c>
      <c r="N37" s="3">
        <v>1.3</v>
      </c>
      <c r="O37" s="5">
        <f t="shared" si="2"/>
        <v>1</v>
      </c>
      <c r="P37" s="4"/>
      <c r="Q37" s="3">
        <f t="shared" ca="1" si="3"/>
        <v>0.5</v>
      </c>
      <c r="R37" s="3">
        <f t="shared" ca="1" si="4"/>
        <v>0.29999999999999982</v>
      </c>
      <c r="S37" s="3">
        <f t="shared" ca="1" si="5"/>
        <v>1.9999999999999996</v>
      </c>
      <c r="T37" s="3">
        <f t="shared" ca="1" si="6"/>
        <v>9.9999999999999867E-2</v>
      </c>
      <c r="U37" s="3">
        <f t="shared" ca="1" si="7"/>
        <v>1.70293863659264</v>
      </c>
      <c r="V37" s="2">
        <f t="shared" si="8"/>
        <v>33</v>
      </c>
      <c r="X37" s="17"/>
      <c r="AD37" s="2" t="str">
        <f t="shared" ca="1" si="0"/>
        <v xml:space="preserve"> </v>
      </c>
      <c r="AE37" s="21">
        <v>33</v>
      </c>
      <c r="AF37" s="3">
        <v>5</v>
      </c>
      <c r="AG37" s="3">
        <v>3.3</v>
      </c>
      <c r="AH37" s="3">
        <v>1.4</v>
      </c>
      <c r="AI37" s="3">
        <v>0.2</v>
      </c>
      <c r="AJ37" s="2">
        <v>0</v>
      </c>
      <c r="AK37" s="2">
        <v>0</v>
      </c>
      <c r="AL37" s="2">
        <v>0</v>
      </c>
      <c r="AM37" s="2">
        <f t="shared" si="12"/>
        <v>1</v>
      </c>
      <c r="AN37" s="2">
        <f t="shared" si="13"/>
        <v>1</v>
      </c>
      <c r="AO37" s="1" t="str">
        <f t="shared" ca="1" si="11"/>
        <v/>
      </c>
    </row>
    <row r="38" spans="1:41" x14ac:dyDescent="0.3">
      <c r="A38" s="2">
        <v>34</v>
      </c>
      <c r="B38" s="3" t="str">
        <f t="shared" si="1"/>
        <v>4,93,11,50,2</v>
      </c>
      <c r="C38" s="3">
        <v>4.9000000000000004</v>
      </c>
      <c r="D38" s="3">
        <v>3.1</v>
      </c>
      <c r="E38" s="3">
        <v>1.5</v>
      </c>
      <c r="F38" s="3">
        <v>0.2</v>
      </c>
      <c r="G38" s="5">
        <v>0</v>
      </c>
      <c r="H38" s="2" t="s">
        <v>5</v>
      </c>
      <c r="J38" s="2">
        <v>34</v>
      </c>
      <c r="K38" s="3">
        <v>4.8</v>
      </c>
      <c r="L38" s="3">
        <v>3</v>
      </c>
      <c r="M38" s="3">
        <v>1.4</v>
      </c>
      <c r="N38" s="3">
        <v>0.1</v>
      </c>
      <c r="O38" s="5">
        <f t="shared" si="2"/>
        <v>0</v>
      </c>
      <c r="P38" s="4"/>
      <c r="Q38" s="3">
        <f t="shared" ca="1" si="3"/>
        <v>1.2999999999999998</v>
      </c>
      <c r="R38" s="3">
        <f t="shared" ca="1" si="4"/>
        <v>0.39999999999999991</v>
      </c>
      <c r="S38" s="3">
        <f t="shared" ca="1" si="5"/>
        <v>4.1999999999999993</v>
      </c>
      <c r="T38" s="3">
        <f t="shared" ca="1" si="6"/>
        <v>1.2999999999999998</v>
      </c>
      <c r="U38" s="3">
        <f t="shared" ca="1" si="7"/>
        <v>2.6832815729997472</v>
      </c>
      <c r="V38" s="2">
        <f t="shared" si="8"/>
        <v>34</v>
      </c>
      <c r="X38" s="17"/>
      <c r="AD38" s="2" t="str">
        <f t="shared" ca="1" si="0"/>
        <v xml:space="preserve"> </v>
      </c>
      <c r="AE38" s="21">
        <v>34</v>
      </c>
      <c r="AF38" s="3">
        <v>6.4</v>
      </c>
      <c r="AG38" s="3">
        <v>2.7</v>
      </c>
      <c r="AH38" s="3">
        <v>5.3</v>
      </c>
      <c r="AI38" s="3">
        <v>1.9</v>
      </c>
      <c r="AJ38" s="2">
        <v>2</v>
      </c>
      <c r="AK38" s="2">
        <v>2</v>
      </c>
      <c r="AL38" s="2">
        <v>2</v>
      </c>
      <c r="AM38" s="2">
        <f t="shared" si="12"/>
        <v>1</v>
      </c>
      <c r="AN38" s="2">
        <f t="shared" si="13"/>
        <v>1</v>
      </c>
      <c r="AO38" s="1" t="str">
        <f t="shared" ca="1" si="11"/>
        <v/>
      </c>
    </row>
    <row r="39" spans="1:41" x14ac:dyDescent="0.3">
      <c r="A39" s="2">
        <v>35</v>
      </c>
      <c r="B39" s="3" t="str">
        <f t="shared" si="1"/>
        <v>53,21,20,2</v>
      </c>
      <c r="C39" s="3">
        <v>5</v>
      </c>
      <c r="D39" s="3">
        <v>3.2</v>
      </c>
      <c r="E39" s="3">
        <v>1.2</v>
      </c>
      <c r="F39" s="3">
        <v>0.2</v>
      </c>
      <c r="G39" s="5">
        <v>0</v>
      </c>
      <c r="H39" s="2" t="s">
        <v>5</v>
      </c>
      <c r="J39" s="2">
        <v>35</v>
      </c>
      <c r="K39" s="3">
        <v>4.8</v>
      </c>
      <c r="L39" s="3">
        <v>3</v>
      </c>
      <c r="M39" s="3">
        <v>1.4</v>
      </c>
      <c r="N39" s="3">
        <v>0.3</v>
      </c>
      <c r="O39" s="5">
        <f t="shared" si="2"/>
        <v>0</v>
      </c>
      <c r="P39" s="4"/>
      <c r="Q39" s="3">
        <f t="shared" ca="1" si="3"/>
        <v>1.2999999999999998</v>
      </c>
      <c r="R39" s="3">
        <f t="shared" ca="1" si="4"/>
        <v>0.39999999999999991</v>
      </c>
      <c r="S39" s="3">
        <f t="shared" ca="1" si="5"/>
        <v>4.1999999999999993</v>
      </c>
      <c r="T39" s="3">
        <f t="shared" ca="1" si="6"/>
        <v>1.0999999999999999</v>
      </c>
      <c r="U39" s="3">
        <f t="shared" ca="1" si="7"/>
        <v>2.6457513110645903</v>
      </c>
      <c r="V39" s="2">
        <f t="shared" si="8"/>
        <v>35</v>
      </c>
      <c r="X39" s="17"/>
      <c r="AD39" s="2" t="str">
        <f t="shared" ca="1" si="0"/>
        <v xml:space="preserve"> </v>
      </c>
      <c r="AE39" s="21">
        <v>35</v>
      </c>
      <c r="AF39" s="3">
        <v>5</v>
      </c>
      <c r="AG39" s="3">
        <v>3.5</v>
      </c>
      <c r="AH39" s="3">
        <v>1.3</v>
      </c>
      <c r="AI39" s="3">
        <v>0.3</v>
      </c>
      <c r="AJ39" s="2">
        <v>0</v>
      </c>
      <c r="AK39" s="2">
        <v>0</v>
      </c>
      <c r="AL39" s="2">
        <v>0</v>
      </c>
      <c r="AM39" s="2">
        <f t="shared" si="12"/>
        <v>1</v>
      </c>
      <c r="AN39" s="2">
        <f t="shared" si="13"/>
        <v>1</v>
      </c>
      <c r="AO39" s="1" t="str">
        <f t="shared" ca="1" si="11"/>
        <v/>
      </c>
    </row>
    <row r="40" spans="1:41" x14ac:dyDescent="0.3">
      <c r="A40" s="2">
        <v>36</v>
      </c>
      <c r="B40" s="3" t="str">
        <f t="shared" si="1"/>
        <v>5,53,51,30,2</v>
      </c>
      <c r="C40" s="3">
        <v>5.5</v>
      </c>
      <c r="D40" s="3">
        <v>3.5</v>
      </c>
      <c r="E40" s="3">
        <v>1.3</v>
      </c>
      <c r="F40" s="3">
        <v>0.2</v>
      </c>
      <c r="G40" s="5">
        <v>0</v>
      </c>
      <c r="H40" s="2" t="s">
        <v>5</v>
      </c>
      <c r="J40" s="2">
        <v>36</v>
      </c>
      <c r="K40" s="3">
        <v>6.7</v>
      </c>
      <c r="L40" s="3">
        <v>3.1</v>
      </c>
      <c r="M40" s="3">
        <v>4.4000000000000004</v>
      </c>
      <c r="N40" s="3">
        <v>1.4</v>
      </c>
      <c r="O40" s="5">
        <f t="shared" si="2"/>
        <v>1</v>
      </c>
      <c r="P40" s="4"/>
      <c r="Q40" s="3">
        <f t="shared" ca="1" si="3"/>
        <v>0.60000000000000053</v>
      </c>
      <c r="R40" s="3">
        <f t="shared" ca="1" si="4"/>
        <v>0.5</v>
      </c>
      <c r="S40" s="3">
        <f t="shared" ca="1" si="5"/>
        <v>1.1999999999999993</v>
      </c>
      <c r="T40" s="3">
        <f t="shared" ca="1" si="6"/>
        <v>0</v>
      </c>
      <c r="U40" s="3">
        <f t="shared" ca="1" si="7"/>
        <v>1.51657508881031</v>
      </c>
      <c r="V40" s="2">
        <f t="shared" si="8"/>
        <v>36</v>
      </c>
      <c r="X40" s="17"/>
      <c r="AD40" s="2" t="str">
        <f t="shared" ca="1" si="0"/>
        <v xml:space="preserve"> </v>
      </c>
      <c r="AE40" s="21">
        <v>36</v>
      </c>
      <c r="AF40" s="3">
        <v>4.4000000000000004</v>
      </c>
      <c r="AG40" s="3">
        <v>3.2</v>
      </c>
      <c r="AH40" s="3">
        <v>1.3</v>
      </c>
      <c r="AI40" s="3">
        <v>0.2</v>
      </c>
      <c r="AJ40" s="2">
        <v>0</v>
      </c>
      <c r="AK40" s="2">
        <v>0</v>
      </c>
      <c r="AL40" s="2">
        <v>0</v>
      </c>
      <c r="AM40" s="2">
        <f t="shared" si="12"/>
        <v>1</v>
      </c>
      <c r="AN40" s="2">
        <f t="shared" si="13"/>
        <v>1</v>
      </c>
      <c r="AO40" s="1" t="str">
        <f t="shared" ca="1" si="11"/>
        <v/>
      </c>
    </row>
    <row r="41" spans="1:41" x14ac:dyDescent="0.3">
      <c r="A41" s="2">
        <v>37</v>
      </c>
      <c r="B41" s="3" t="str">
        <f t="shared" si="1"/>
        <v>4,93,61,40,1</v>
      </c>
      <c r="C41" s="3">
        <v>4.9000000000000004</v>
      </c>
      <c r="D41" s="3">
        <v>3.6</v>
      </c>
      <c r="E41" s="3">
        <v>1.4</v>
      </c>
      <c r="F41" s="3">
        <v>0.1</v>
      </c>
      <c r="G41" s="5">
        <v>0</v>
      </c>
      <c r="H41" s="2" t="s">
        <v>5</v>
      </c>
      <c r="J41" s="2">
        <v>37</v>
      </c>
      <c r="K41" s="3">
        <v>6.3</v>
      </c>
      <c r="L41" s="3">
        <v>2.5</v>
      </c>
      <c r="M41" s="3">
        <v>5</v>
      </c>
      <c r="N41" s="3">
        <v>1.9</v>
      </c>
      <c r="O41" s="5">
        <f t="shared" si="2"/>
        <v>2</v>
      </c>
      <c r="P41" s="4"/>
      <c r="Q41" s="3">
        <f t="shared" ca="1" si="3"/>
        <v>0.20000000000000018</v>
      </c>
      <c r="R41" s="3">
        <f t="shared" ca="1" si="4"/>
        <v>0.10000000000000009</v>
      </c>
      <c r="S41" s="3">
        <f t="shared" ca="1" si="5"/>
        <v>0.59999999999999964</v>
      </c>
      <c r="T41" s="3">
        <f t="shared" ca="1" si="6"/>
        <v>0.5</v>
      </c>
      <c r="U41" s="3">
        <f t="shared" ca="1" si="7"/>
        <v>1.1832159566199232</v>
      </c>
      <c r="V41" s="2">
        <f t="shared" si="8"/>
        <v>37</v>
      </c>
      <c r="X41" s="17"/>
      <c r="AD41" s="2" t="str">
        <f t="shared" ca="1" si="0"/>
        <v xml:space="preserve"> </v>
      </c>
      <c r="AE41" s="21">
        <v>37</v>
      </c>
      <c r="AF41" s="3">
        <v>4.7</v>
      </c>
      <c r="AG41" s="3">
        <v>3.2</v>
      </c>
      <c r="AH41" s="3">
        <v>1.3</v>
      </c>
      <c r="AI41" s="3">
        <v>0.2</v>
      </c>
      <c r="AJ41" s="2">
        <v>0</v>
      </c>
      <c r="AK41" s="2">
        <v>0</v>
      </c>
      <c r="AL41" s="2">
        <v>0</v>
      </c>
      <c r="AM41" s="2">
        <f t="shared" si="12"/>
        <v>1</v>
      </c>
      <c r="AN41" s="2">
        <f t="shared" si="13"/>
        <v>1</v>
      </c>
      <c r="AO41" s="1" t="str">
        <f t="shared" ca="1" si="11"/>
        <v/>
      </c>
    </row>
    <row r="42" spans="1:41" x14ac:dyDescent="0.3">
      <c r="A42" s="2">
        <v>38</v>
      </c>
      <c r="B42" s="3" t="str">
        <f t="shared" si="1"/>
        <v>4,431,30,2</v>
      </c>
      <c r="C42" s="3">
        <v>4.4000000000000004</v>
      </c>
      <c r="D42" s="3">
        <v>3</v>
      </c>
      <c r="E42" s="3">
        <v>1.3</v>
      </c>
      <c r="F42" s="3">
        <v>0.2</v>
      </c>
      <c r="G42" s="5">
        <v>0</v>
      </c>
      <c r="H42" s="2" t="s">
        <v>5</v>
      </c>
      <c r="J42" s="2">
        <v>38</v>
      </c>
      <c r="K42" s="3">
        <v>7.9</v>
      </c>
      <c r="L42" s="3">
        <v>3.8</v>
      </c>
      <c r="M42" s="3">
        <v>6.4</v>
      </c>
      <c r="N42" s="3">
        <v>2</v>
      </c>
      <c r="O42" s="5">
        <f t="shared" si="2"/>
        <v>2</v>
      </c>
      <c r="P42" s="4"/>
      <c r="Q42" s="3">
        <f t="shared" ca="1" si="3"/>
        <v>1.8000000000000007</v>
      </c>
      <c r="R42" s="3">
        <f t="shared" ca="1" si="4"/>
        <v>1.1999999999999997</v>
      </c>
      <c r="S42" s="3">
        <f t="shared" ca="1" si="5"/>
        <v>0.80000000000000071</v>
      </c>
      <c r="T42" s="3">
        <f t="shared" ca="1" si="6"/>
        <v>0.60000000000000009</v>
      </c>
      <c r="U42" s="3">
        <f t="shared" ca="1" si="7"/>
        <v>2.0976176963403033</v>
      </c>
      <c r="V42" s="2">
        <f t="shared" si="8"/>
        <v>38</v>
      </c>
      <c r="X42" s="17"/>
      <c r="AD42" s="2" t="str">
        <f t="shared" ca="1" si="0"/>
        <v xml:space="preserve"> </v>
      </c>
      <c r="AE42" s="21">
        <v>38</v>
      </c>
      <c r="AF42" s="3">
        <v>5</v>
      </c>
      <c r="AG42" s="3">
        <v>3.5</v>
      </c>
      <c r="AH42" s="3">
        <v>1.6</v>
      </c>
      <c r="AI42" s="3">
        <v>0.6</v>
      </c>
      <c r="AJ42" s="2">
        <v>0</v>
      </c>
      <c r="AK42" s="2">
        <v>0</v>
      </c>
      <c r="AL42" s="2">
        <v>0</v>
      </c>
      <c r="AM42" s="2">
        <f t="shared" si="12"/>
        <v>1</v>
      </c>
      <c r="AN42" s="2">
        <f t="shared" si="13"/>
        <v>1</v>
      </c>
      <c r="AO42" s="1" t="str">
        <f t="shared" ca="1" si="11"/>
        <v/>
      </c>
    </row>
    <row r="43" spans="1:41" x14ac:dyDescent="0.3">
      <c r="A43" s="2">
        <v>39</v>
      </c>
      <c r="B43" s="3" t="str">
        <f t="shared" si="1"/>
        <v>5,13,41,50,2</v>
      </c>
      <c r="C43" s="3">
        <v>5.0999999999999996</v>
      </c>
      <c r="D43" s="3">
        <v>3.4</v>
      </c>
      <c r="E43" s="3">
        <v>1.5</v>
      </c>
      <c r="F43" s="3">
        <v>0.2</v>
      </c>
      <c r="G43" s="5">
        <v>0</v>
      </c>
      <c r="H43" s="2" t="s">
        <v>5</v>
      </c>
      <c r="J43" s="2">
        <v>39</v>
      </c>
      <c r="K43" s="3">
        <v>5.0999999999999996</v>
      </c>
      <c r="L43" s="3">
        <v>3.5</v>
      </c>
      <c r="M43" s="3">
        <v>1.4</v>
      </c>
      <c r="N43" s="3">
        <v>0.2</v>
      </c>
      <c r="O43" s="5">
        <f t="shared" si="2"/>
        <v>0</v>
      </c>
      <c r="P43" s="4"/>
      <c r="Q43" s="3">
        <f t="shared" ca="1" si="3"/>
        <v>1</v>
      </c>
      <c r="R43" s="3">
        <f t="shared" ca="1" si="4"/>
        <v>0.89999999999999991</v>
      </c>
      <c r="S43" s="3">
        <f t="shared" ca="1" si="5"/>
        <v>4.1999999999999993</v>
      </c>
      <c r="T43" s="3">
        <f t="shared" ca="1" si="6"/>
        <v>1.2</v>
      </c>
      <c r="U43" s="3">
        <f t="shared" ca="1" si="7"/>
        <v>2.7018512172212592</v>
      </c>
      <c r="V43" s="2">
        <f t="shared" si="8"/>
        <v>39</v>
      </c>
      <c r="X43" s="17"/>
      <c r="AD43" s="2" t="str">
        <f t="shared" ca="1" si="0"/>
        <v xml:space="preserve"> </v>
      </c>
      <c r="AE43" s="21">
        <v>39</v>
      </c>
      <c r="AF43" s="3">
        <v>6.7</v>
      </c>
      <c r="AG43" s="3">
        <v>3</v>
      </c>
      <c r="AH43" s="3">
        <v>5</v>
      </c>
      <c r="AI43" s="3">
        <v>1.7</v>
      </c>
      <c r="AJ43" s="2">
        <v>1</v>
      </c>
      <c r="AK43" s="2">
        <v>1</v>
      </c>
      <c r="AL43" s="2">
        <v>1</v>
      </c>
      <c r="AM43" s="2">
        <f t="shared" si="12"/>
        <v>1</v>
      </c>
      <c r="AN43" s="2">
        <f t="shared" si="13"/>
        <v>1</v>
      </c>
      <c r="AO43" s="1" t="str">
        <f t="shared" ca="1" si="11"/>
        <v/>
      </c>
    </row>
    <row r="44" spans="1:41" x14ac:dyDescent="0.3">
      <c r="A44" s="2">
        <v>40</v>
      </c>
      <c r="B44" s="3" t="str">
        <f t="shared" si="1"/>
        <v>53,51,30,3</v>
      </c>
      <c r="C44" s="3">
        <v>5</v>
      </c>
      <c r="D44" s="3">
        <v>3.5</v>
      </c>
      <c r="E44" s="3">
        <v>1.3</v>
      </c>
      <c r="F44" s="3">
        <v>0.3</v>
      </c>
      <c r="G44" s="5">
        <v>0</v>
      </c>
      <c r="H44" s="2" t="s">
        <v>5</v>
      </c>
      <c r="J44" s="2">
        <v>40</v>
      </c>
      <c r="K44" s="3">
        <v>6.4</v>
      </c>
      <c r="L44" s="3">
        <v>2.8</v>
      </c>
      <c r="M44" s="3">
        <v>5.6</v>
      </c>
      <c r="N44" s="3">
        <v>2.1</v>
      </c>
      <c r="O44" s="5">
        <f t="shared" si="2"/>
        <v>2</v>
      </c>
      <c r="P44" s="4"/>
      <c r="Q44" s="3">
        <f t="shared" ca="1" si="3"/>
        <v>0.30000000000000071</v>
      </c>
      <c r="R44" s="3">
        <f t="shared" ca="1" si="4"/>
        <v>0.19999999999999973</v>
      </c>
      <c r="S44" s="3">
        <f t="shared" ca="1" si="5"/>
        <v>0</v>
      </c>
      <c r="T44" s="3">
        <f t="shared" ca="1" si="6"/>
        <v>0.70000000000000018</v>
      </c>
      <c r="U44" s="3">
        <f t="shared" ca="1" si="7"/>
        <v>1.0954451150103326</v>
      </c>
      <c r="V44" s="2">
        <f t="shared" si="8"/>
        <v>40</v>
      </c>
      <c r="X44" s="17"/>
      <c r="AD44" s="2" t="str">
        <f t="shared" ca="1" si="0"/>
        <v xml:space="preserve"> </v>
      </c>
      <c r="AE44" s="21">
        <v>40</v>
      </c>
      <c r="AF44" s="3">
        <v>5.7</v>
      </c>
      <c r="AG44" s="3">
        <v>2.8</v>
      </c>
      <c r="AH44" s="3">
        <v>4.5</v>
      </c>
      <c r="AI44" s="3">
        <v>1.3</v>
      </c>
      <c r="AJ44" s="2">
        <v>1</v>
      </c>
      <c r="AK44" s="2">
        <v>1</v>
      </c>
      <c r="AL44" s="2">
        <v>1</v>
      </c>
      <c r="AM44" s="2">
        <f t="shared" si="12"/>
        <v>1</v>
      </c>
      <c r="AN44" s="2">
        <f t="shared" si="13"/>
        <v>1</v>
      </c>
      <c r="AO44" s="1" t="str">
        <f t="shared" ca="1" si="11"/>
        <v/>
      </c>
    </row>
    <row r="45" spans="1:41" x14ac:dyDescent="0.3">
      <c r="A45" s="2">
        <v>41</v>
      </c>
      <c r="B45" s="3" t="str">
        <f t="shared" si="1"/>
        <v>4,52,31,30,3</v>
      </c>
      <c r="C45" s="3">
        <v>4.5</v>
      </c>
      <c r="D45" s="3">
        <v>2.2999999999999998</v>
      </c>
      <c r="E45" s="3">
        <v>1.3</v>
      </c>
      <c r="F45" s="3">
        <v>0.3</v>
      </c>
      <c r="G45" s="5">
        <v>0</v>
      </c>
      <c r="H45" s="2" t="s">
        <v>5</v>
      </c>
      <c r="J45" s="2">
        <v>41</v>
      </c>
      <c r="K45" s="3">
        <v>4.5999999999999996</v>
      </c>
      <c r="L45" s="3">
        <v>3.2</v>
      </c>
      <c r="M45" s="3">
        <v>1.4</v>
      </c>
      <c r="N45" s="3">
        <v>0.2</v>
      </c>
      <c r="O45" s="5">
        <f t="shared" si="2"/>
        <v>0</v>
      </c>
      <c r="P45" s="4"/>
      <c r="Q45" s="3">
        <f t="shared" ca="1" si="3"/>
        <v>1.5</v>
      </c>
      <c r="R45" s="3">
        <f t="shared" ca="1" si="4"/>
        <v>0.60000000000000009</v>
      </c>
      <c r="S45" s="3">
        <f t="shared" ca="1" si="5"/>
        <v>4.1999999999999993</v>
      </c>
      <c r="T45" s="3">
        <f t="shared" ca="1" si="6"/>
        <v>1.2</v>
      </c>
      <c r="U45" s="3">
        <f t="shared" ca="1" si="7"/>
        <v>2.7386127875258306</v>
      </c>
      <c r="V45" s="2">
        <f t="shared" si="8"/>
        <v>41</v>
      </c>
      <c r="X45" s="17"/>
      <c r="AD45" s="2" t="str">
        <f t="shared" ca="1" si="0"/>
        <v xml:space="preserve"> </v>
      </c>
      <c r="AE45" s="21">
        <v>41</v>
      </c>
      <c r="AF45" s="3">
        <v>4.5999999999999996</v>
      </c>
      <c r="AG45" s="3">
        <v>3.6</v>
      </c>
      <c r="AH45" s="3">
        <v>1</v>
      </c>
      <c r="AI45" s="3">
        <v>0.2</v>
      </c>
      <c r="AJ45" s="2">
        <v>0</v>
      </c>
      <c r="AK45" s="2">
        <v>0</v>
      </c>
      <c r="AL45" s="2">
        <v>0</v>
      </c>
      <c r="AM45" s="2">
        <f t="shared" si="12"/>
        <v>1</v>
      </c>
      <c r="AN45" s="2">
        <f t="shared" si="13"/>
        <v>1</v>
      </c>
      <c r="AO45" s="1" t="str">
        <f t="shared" ca="1" si="11"/>
        <v/>
      </c>
    </row>
    <row r="46" spans="1:41" x14ac:dyDescent="0.3">
      <c r="A46" s="2">
        <v>42</v>
      </c>
      <c r="B46" s="3" t="str">
        <f t="shared" si="1"/>
        <v>4,43,21,30,2</v>
      </c>
      <c r="C46" s="3">
        <v>4.4000000000000004</v>
      </c>
      <c r="D46" s="3">
        <v>3.2</v>
      </c>
      <c r="E46" s="3">
        <v>1.3</v>
      </c>
      <c r="F46" s="3">
        <v>0.2</v>
      </c>
      <c r="G46" s="5">
        <v>0</v>
      </c>
      <c r="H46" s="2" t="s">
        <v>5</v>
      </c>
      <c r="J46" s="2">
        <v>42</v>
      </c>
      <c r="K46" s="3">
        <v>6</v>
      </c>
      <c r="L46" s="3">
        <v>2.2000000000000002</v>
      </c>
      <c r="M46" s="3">
        <v>5</v>
      </c>
      <c r="N46" s="3">
        <v>1.5</v>
      </c>
      <c r="O46" s="5">
        <f t="shared" si="2"/>
        <v>2</v>
      </c>
      <c r="P46" s="4"/>
      <c r="Q46" s="3">
        <f t="shared" ca="1" si="3"/>
        <v>9.9999999999999645E-2</v>
      </c>
      <c r="R46" s="3">
        <f t="shared" ca="1" si="4"/>
        <v>0.39999999999999991</v>
      </c>
      <c r="S46" s="3">
        <f t="shared" ca="1" si="5"/>
        <v>0.59999999999999964</v>
      </c>
      <c r="T46" s="3">
        <f t="shared" ca="1" si="6"/>
        <v>0.10000000000000009</v>
      </c>
      <c r="U46" s="3">
        <f t="shared" ca="1" si="7"/>
        <v>1.0954451150103319</v>
      </c>
      <c r="V46" s="2">
        <f t="shared" si="8"/>
        <v>42</v>
      </c>
      <c r="X46" s="17"/>
      <c r="AD46" s="2" t="str">
        <f t="shared" ca="1" si="0"/>
        <v xml:space="preserve"> </v>
      </c>
      <c r="AE46" s="21">
        <v>42</v>
      </c>
      <c r="AF46" s="3">
        <v>4.9000000000000004</v>
      </c>
      <c r="AG46" s="3">
        <v>2.5</v>
      </c>
      <c r="AH46" s="3">
        <v>4.5</v>
      </c>
      <c r="AI46" s="3">
        <v>1.7</v>
      </c>
      <c r="AJ46" s="2">
        <v>2</v>
      </c>
      <c r="AK46" s="2">
        <v>1</v>
      </c>
      <c r="AL46" s="2">
        <v>1</v>
      </c>
      <c r="AM46" s="2">
        <f t="shared" si="12"/>
        <v>0</v>
      </c>
      <c r="AN46" s="2">
        <f t="shared" si="13"/>
        <v>0</v>
      </c>
      <c r="AO46" s="1" t="str">
        <f t="shared" ca="1" si="11"/>
        <v/>
      </c>
    </row>
    <row r="47" spans="1:41" x14ac:dyDescent="0.3">
      <c r="A47" s="2">
        <v>43</v>
      </c>
      <c r="B47" s="3" t="str">
        <f t="shared" si="1"/>
        <v>53,51,60,6</v>
      </c>
      <c r="C47" s="3">
        <v>5</v>
      </c>
      <c r="D47" s="3">
        <v>3.5</v>
      </c>
      <c r="E47" s="3">
        <v>1.6</v>
      </c>
      <c r="F47" s="3">
        <v>0.6</v>
      </c>
      <c r="G47" s="5">
        <v>0</v>
      </c>
      <c r="H47" s="2" t="s">
        <v>5</v>
      </c>
      <c r="J47" s="2">
        <v>43</v>
      </c>
      <c r="K47" s="3">
        <v>5.5</v>
      </c>
      <c r="L47" s="3">
        <v>3.5</v>
      </c>
      <c r="M47" s="3">
        <v>1.3</v>
      </c>
      <c r="N47" s="3">
        <v>0.2</v>
      </c>
      <c r="O47" s="5">
        <f t="shared" si="2"/>
        <v>0</v>
      </c>
      <c r="P47" s="4"/>
      <c r="Q47" s="3">
        <f t="shared" ca="1" si="3"/>
        <v>0.59999999999999964</v>
      </c>
      <c r="R47" s="3">
        <f t="shared" ca="1" si="4"/>
        <v>0.89999999999999991</v>
      </c>
      <c r="S47" s="3">
        <f t="shared" ca="1" si="5"/>
        <v>4.3</v>
      </c>
      <c r="T47" s="3">
        <f t="shared" ca="1" si="6"/>
        <v>1.2</v>
      </c>
      <c r="U47" s="3">
        <f t="shared" ca="1" si="7"/>
        <v>2.6457513110645903</v>
      </c>
      <c r="V47" s="2">
        <f t="shared" si="8"/>
        <v>43</v>
      </c>
      <c r="X47" s="17"/>
      <c r="AD47" s="2" t="str">
        <f t="shared" ca="1" si="0"/>
        <v xml:space="preserve"> </v>
      </c>
      <c r="AE47" s="21">
        <v>43</v>
      </c>
      <c r="AF47" s="3">
        <v>6.5</v>
      </c>
      <c r="AG47" s="3">
        <v>3</v>
      </c>
      <c r="AH47" s="3">
        <v>5.2</v>
      </c>
      <c r="AI47" s="3">
        <v>2</v>
      </c>
      <c r="AJ47" s="2">
        <v>2</v>
      </c>
      <c r="AK47" s="2">
        <v>2</v>
      </c>
      <c r="AL47" s="2">
        <v>2</v>
      </c>
      <c r="AM47" s="2">
        <f t="shared" si="12"/>
        <v>1</v>
      </c>
      <c r="AN47" s="2">
        <f t="shared" si="13"/>
        <v>1</v>
      </c>
      <c r="AO47" s="1" t="str">
        <f t="shared" ca="1" si="11"/>
        <v/>
      </c>
    </row>
    <row r="48" spans="1:41" x14ac:dyDescent="0.3">
      <c r="A48" s="2">
        <v>44</v>
      </c>
      <c r="B48" s="3" t="str">
        <f t="shared" si="1"/>
        <v>5,13,81,90,4</v>
      </c>
      <c r="C48" s="3">
        <v>5.0999999999999996</v>
      </c>
      <c r="D48" s="3">
        <v>3.8</v>
      </c>
      <c r="E48" s="3">
        <v>1.9</v>
      </c>
      <c r="F48" s="3">
        <v>0.4</v>
      </c>
      <c r="G48" s="5">
        <v>0</v>
      </c>
      <c r="H48" s="2" t="s">
        <v>5</v>
      </c>
      <c r="J48" s="2">
        <v>44</v>
      </c>
      <c r="K48" s="3">
        <v>6.3</v>
      </c>
      <c r="L48" s="3">
        <v>3.3</v>
      </c>
      <c r="M48" s="3">
        <v>6</v>
      </c>
      <c r="N48" s="3">
        <v>2.5</v>
      </c>
      <c r="O48" s="5">
        <f t="shared" si="2"/>
        <v>2</v>
      </c>
      <c r="P48" s="4"/>
      <c r="Q48" s="3">
        <f t="shared" ca="1" si="3"/>
        <v>0.20000000000000018</v>
      </c>
      <c r="R48" s="3">
        <f t="shared" ca="1" si="4"/>
        <v>0.69999999999999973</v>
      </c>
      <c r="S48" s="3">
        <f t="shared" ca="1" si="5"/>
        <v>0.40000000000000036</v>
      </c>
      <c r="T48" s="3">
        <f t="shared" ca="1" si="6"/>
        <v>1.1000000000000001</v>
      </c>
      <c r="U48" s="3">
        <f t="shared" ca="1" si="7"/>
        <v>1.5491933384829668</v>
      </c>
      <c r="V48" s="2">
        <f t="shared" si="8"/>
        <v>44</v>
      </c>
      <c r="X48" s="17"/>
      <c r="AD48" s="2" t="str">
        <f t="shared" ca="1" si="0"/>
        <v xml:space="preserve"> </v>
      </c>
      <c r="AE48" s="21">
        <v>44</v>
      </c>
      <c r="AF48" s="3">
        <v>6.6</v>
      </c>
      <c r="AG48" s="3">
        <v>2.9</v>
      </c>
      <c r="AH48" s="3">
        <v>4.5999999999999996</v>
      </c>
      <c r="AI48" s="3">
        <v>1.3</v>
      </c>
      <c r="AJ48" s="2">
        <v>1</v>
      </c>
      <c r="AK48" s="2">
        <v>1</v>
      </c>
      <c r="AL48" s="2">
        <v>1</v>
      </c>
      <c r="AM48" s="2">
        <f t="shared" si="12"/>
        <v>1</v>
      </c>
      <c r="AN48" s="2">
        <f t="shared" si="13"/>
        <v>1</v>
      </c>
      <c r="AO48" s="1" t="str">
        <f t="shared" ca="1" si="11"/>
        <v/>
      </c>
    </row>
    <row r="49" spans="1:24" x14ac:dyDescent="0.3">
      <c r="A49" s="2">
        <v>45</v>
      </c>
      <c r="B49" s="3" t="str">
        <f t="shared" si="1"/>
        <v>4,831,40,3</v>
      </c>
      <c r="C49" s="3">
        <v>4.8</v>
      </c>
      <c r="D49" s="3">
        <v>3</v>
      </c>
      <c r="E49" s="3">
        <v>1.4</v>
      </c>
      <c r="F49" s="3">
        <v>0.3</v>
      </c>
      <c r="G49" s="5">
        <v>0</v>
      </c>
      <c r="H49" s="2" t="s">
        <v>5</v>
      </c>
      <c r="J49" s="2">
        <v>45</v>
      </c>
      <c r="K49" s="3">
        <v>6</v>
      </c>
      <c r="L49" s="3">
        <v>2.2000000000000002</v>
      </c>
      <c r="M49" s="3">
        <v>4</v>
      </c>
      <c r="N49" s="3">
        <v>1</v>
      </c>
      <c r="O49" s="5">
        <f t="shared" si="2"/>
        <v>1</v>
      </c>
      <c r="P49" s="4"/>
      <c r="Q49" s="3">
        <f t="shared" ca="1" si="3"/>
        <v>9.9999999999999645E-2</v>
      </c>
      <c r="R49" s="3">
        <f t="shared" ca="1" si="4"/>
        <v>0.39999999999999991</v>
      </c>
      <c r="S49" s="3">
        <f t="shared" ca="1" si="5"/>
        <v>1.5999999999999996</v>
      </c>
      <c r="T49" s="3">
        <f t="shared" ca="1" si="6"/>
        <v>0.39999999999999991</v>
      </c>
      <c r="U49" s="3">
        <f t="shared" ca="1" si="7"/>
        <v>1.5811388300841893</v>
      </c>
      <c r="V49" s="2">
        <f t="shared" si="8"/>
        <v>45</v>
      </c>
      <c r="X49" s="17"/>
    </row>
    <row r="50" spans="1:24" x14ac:dyDescent="0.3">
      <c r="A50" s="2">
        <v>46</v>
      </c>
      <c r="B50" s="3" t="str">
        <f t="shared" si="1"/>
        <v>5,13,81,60,2</v>
      </c>
      <c r="C50" s="3">
        <v>5.0999999999999996</v>
      </c>
      <c r="D50" s="3">
        <v>3.8</v>
      </c>
      <c r="E50" s="3">
        <v>1.6</v>
      </c>
      <c r="F50" s="3">
        <v>0.2</v>
      </c>
      <c r="G50" s="5">
        <v>0</v>
      </c>
      <c r="H50" s="2" t="s">
        <v>5</v>
      </c>
      <c r="J50" s="2">
        <v>46</v>
      </c>
      <c r="K50" s="3">
        <v>4.8</v>
      </c>
      <c r="L50" s="3">
        <v>3.4</v>
      </c>
      <c r="M50" s="3">
        <v>1.9</v>
      </c>
      <c r="N50" s="3">
        <v>0.2</v>
      </c>
      <c r="O50" s="5">
        <f t="shared" si="2"/>
        <v>0</v>
      </c>
      <c r="P50" s="4"/>
      <c r="Q50" s="3">
        <f t="shared" ca="1" si="3"/>
        <v>1.2999999999999998</v>
      </c>
      <c r="R50" s="3">
        <f t="shared" ca="1" si="4"/>
        <v>0.79999999999999982</v>
      </c>
      <c r="S50" s="3">
        <f t="shared" ca="1" si="5"/>
        <v>3.6999999999999997</v>
      </c>
      <c r="T50" s="3">
        <f t="shared" ca="1" si="6"/>
        <v>1.2</v>
      </c>
      <c r="U50" s="3">
        <f t="shared" ca="1" si="7"/>
        <v>2.6457513110645903</v>
      </c>
      <c r="V50" s="2">
        <f t="shared" si="8"/>
        <v>46</v>
      </c>
      <c r="X50" s="17"/>
    </row>
    <row r="51" spans="1:24" x14ac:dyDescent="0.3">
      <c r="A51" s="2">
        <v>47</v>
      </c>
      <c r="B51" s="3" t="str">
        <f t="shared" si="1"/>
        <v>4,63,21,40,2</v>
      </c>
      <c r="C51" s="3">
        <v>4.5999999999999996</v>
      </c>
      <c r="D51" s="3">
        <v>3.2</v>
      </c>
      <c r="E51" s="3">
        <v>1.4</v>
      </c>
      <c r="F51" s="3">
        <v>0.2</v>
      </c>
      <c r="G51" s="5">
        <v>0</v>
      </c>
      <c r="H51" s="2" t="s">
        <v>5</v>
      </c>
      <c r="J51" s="2">
        <v>47</v>
      </c>
      <c r="K51" s="3">
        <v>7.7</v>
      </c>
      <c r="L51" s="3">
        <v>3</v>
      </c>
      <c r="M51" s="3">
        <v>6.1</v>
      </c>
      <c r="N51" s="3">
        <v>2.2999999999999998</v>
      </c>
      <c r="O51" s="5">
        <f t="shared" si="2"/>
        <v>2</v>
      </c>
      <c r="P51" s="4"/>
      <c r="Q51" s="3">
        <f t="shared" ca="1" si="3"/>
        <v>1.6000000000000005</v>
      </c>
      <c r="R51" s="3">
        <f t="shared" ca="1" si="4"/>
        <v>0.39999999999999991</v>
      </c>
      <c r="S51" s="3">
        <f t="shared" ca="1" si="5"/>
        <v>0.5</v>
      </c>
      <c r="T51" s="3">
        <f t="shared" ca="1" si="6"/>
        <v>0.89999999999999991</v>
      </c>
      <c r="U51" s="3">
        <f t="shared" ca="1" si="7"/>
        <v>1.8439088914585775</v>
      </c>
      <c r="V51" s="2">
        <f t="shared" si="8"/>
        <v>47</v>
      </c>
      <c r="X51" s="17"/>
    </row>
    <row r="52" spans="1:24" x14ac:dyDescent="0.3">
      <c r="A52" s="2">
        <v>48</v>
      </c>
      <c r="B52" s="3" t="str">
        <f t="shared" si="1"/>
        <v>5,33,71,50,2</v>
      </c>
      <c r="C52" s="3">
        <v>5.3</v>
      </c>
      <c r="D52" s="3">
        <v>3.7</v>
      </c>
      <c r="E52" s="3">
        <v>1.5</v>
      </c>
      <c r="F52" s="3">
        <v>0.2</v>
      </c>
      <c r="G52" s="5">
        <v>0</v>
      </c>
      <c r="H52" s="2" t="s">
        <v>5</v>
      </c>
      <c r="J52" s="2">
        <v>48</v>
      </c>
      <c r="K52" s="3">
        <v>6.1</v>
      </c>
      <c r="L52" s="3">
        <v>2.8</v>
      </c>
      <c r="M52" s="3">
        <v>4</v>
      </c>
      <c r="N52" s="3">
        <v>1.3</v>
      </c>
      <c r="O52" s="5">
        <f t="shared" si="2"/>
        <v>1</v>
      </c>
      <c r="P52" s="4"/>
      <c r="Q52" s="3">
        <f t="shared" ca="1" si="3"/>
        <v>0</v>
      </c>
      <c r="R52" s="3">
        <f t="shared" ca="1" si="4"/>
        <v>0.19999999999999973</v>
      </c>
      <c r="S52" s="3">
        <f t="shared" ca="1" si="5"/>
        <v>1.5999999999999996</v>
      </c>
      <c r="T52" s="3">
        <f t="shared" ca="1" si="6"/>
        <v>9.9999999999999867E-2</v>
      </c>
      <c r="U52" s="3">
        <f t="shared" ca="1" si="7"/>
        <v>1.3784048752090219</v>
      </c>
      <c r="V52" s="2">
        <f t="shared" si="8"/>
        <v>48</v>
      </c>
      <c r="X52" s="17"/>
    </row>
    <row r="53" spans="1:24" x14ac:dyDescent="0.3">
      <c r="A53" s="2">
        <v>49</v>
      </c>
      <c r="B53" s="3" t="str">
        <f t="shared" si="1"/>
        <v>53,31,40,2</v>
      </c>
      <c r="C53" s="3">
        <v>5</v>
      </c>
      <c r="D53" s="3">
        <v>3.3</v>
      </c>
      <c r="E53" s="3">
        <v>1.4</v>
      </c>
      <c r="F53" s="3">
        <v>0.2</v>
      </c>
      <c r="G53" s="5">
        <v>0</v>
      </c>
      <c r="H53" s="2" t="s">
        <v>5</v>
      </c>
      <c r="J53" s="2">
        <v>49</v>
      </c>
      <c r="K53" s="3">
        <v>5.7</v>
      </c>
      <c r="L53" s="3">
        <v>2.5</v>
      </c>
      <c r="M53" s="3">
        <v>5</v>
      </c>
      <c r="N53" s="3">
        <v>2</v>
      </c>
      <c r="O53" s="5">
        <f t="shared" si="2"/>
        <v>2</v>
      </c>
      <c r="P53" s="4"/>
      <c r="Q53" s="3">
        <f t="shared" ca="1" si="3"/>
        <v>0.39999999999999947</v>
      </c>
      <c r="R53" s="3">
        <f t="shared" ca="1" si="4"/>
        <v>0.10000000000000009</v>
      </c>
      <c r="S53" s="3">
        <f t="shared" ca="1" si="5"/>
        <v>0.59999999999999964</v>
      </c>
      <c r="T53" s="3">
        <f t="shared" ca="1" si="6"/>
        <v>0.60000000000000009</v>
      </c>
      <c r="U53" s="3">
        <f t="shared" ca="1" si="7"/>
        <v>1.3038404810405295</v>
      </c>
      <c r="V53" s="2">
        <f t="shared" si="8"/>
        <v>49</v>
      </c>
      <c r="X53" s="17"/>
    </row>
    <row r="54" spans="1:24" x14ac:dyDescent="0.3">
      <c r="A54" s="2">
        <v>50</v>
      </c>
      <c r="B54" s="3" t="str">
        <f t="shared" si="1"/>
        <v>73,24,71,4</v>
      </c>
      <c r="C54" s="3">
        <v>7</v>
      </c>
      <c r="D54" s="3">
        <v>3.2</v>
      </c>
      <c r="E54" s="3">
        <v>4.7</v>
      </c>
      <c r="F54" s="3">
        <v>1.4</v>
      </c>
      <c r="G54" s="5">
        <v>1</v>
      </c>
      <c r="H54" s="2" t="s">
        <v>6</v>
      </c>
      <c r="J54" s="2">
        <v>50</v>
      </c>
      <c r="K54" s="3">
        <v>5.8</v>
      </c>
      <c r="L54" s="3">
        <v>2.7</v>
      </c>
      <c r="M54" s="3">
        <v>3.9</v>
      </c>
      <c r="N54" s="3">
        <v>1.2</v>
      </c>
      <c r="O54" s="5">
        <f t="shared" si="2"/>
        <v>1</v>
      </c>
      <c r="P54" s="4"/>
      <c r="Q54" s="3">
        <f t="shared" ca="1" si="3"/>
        <v>0.29999999999999982</v>
      </c>
      <c r="R54" s="3">
        <f t="shared" ca="1" si="4"/>
        <v>0.10000000000000009</v>
      </c>
      <c r="S54" s="3">
        <f t="shared" ca="1" si="5"/>
        <v>1.6999999999999997</v>
      </c>
      <c r="T54" s="3">
        <f t="shared" ca="1" si="6"/>
        <v>0.19999999999999996</v>
      </c>
      <c r="U54" s="3">
        <f t="shared" ca="1" si="7"/>
        <v>1.51657508881031</v>
      </c>
      <c r="V54" s="2">
        <f t="shared" si="8"/>
        <v>50</v>
      </c>
      <c r="X54" s="17"/>
    </row>
    <row r="55" spans="1:24" x14ac:dyDescent="0.3">
      <c r="A55" s="2">
        <v>51</v>
      </c>
      <c r="B55" s="3" t="str">
        <f t="shared" si="1"/>
        <v>6,43,24,51,5</v>
      </c>
      <c r="C55" s="3">
        <v>6.4</v>
      </c>
      <c r="D55" s="3">
        <v>3.2</v>
      </c>
      <c r="E55" s="3">
        <v>4.5</v>
      </c>
      <c r="F55" s="3">
        <v>1.5</v>
      </c>
      <c r="G55" s="5">
        <v>1</v>
      </c>
      <c r="H55" s="2" t="s">
        <v>6</v>
      </c>
      <c r="J55" s="2">
        <v>51</v>
      </c>
      <c r="K55" s="3">
        <v>4.5</v>
      </c>
      <c r="L55" s="3">
        <v>2.2999999999999998</v>
      </c>
      <c r="M55" s="3">
        <v>1.3</v>
      </c>
      <c r="N55" s="3">
        <v>0.3</v>
      </c>
      <c r="O55" s="5">
        <f t="shared" si="2"/>
        <v>0</v>
      </c>
      <c r="P55" s="4"/>
      <c r="Q55" s="3">
        <f t="shared" ca="1" si="3"/>
        <v>1.5999999999999996</v>
      </c>
      <c r="R55" s="3">
        <f t="shared" ca="1" si="4"/>
        <v>0.30000000000000027</v>
      </c>
      <c r="S55" s="3">
        <f t="shared" ca="1" si="5"/>
        <v>4.3</v>
      </c>
      <c r="T55" s="3">
        <f t="shared" ca="1" si="6"/>
        <v>1.0999999999999999</v>
      </c>
      <c r="U55" s="3">
        <f t="shared" ca="1" si="7"/>
        <v>2.7018512172212592</v>
      </c>
      <c r="V55" s="2">
        <f t="shared" si="8"/>
        <v>51</v>
      </c>
      <c r="X55" s="17"/>
    </row>
    <row r="56" spans="1:24" x14ac:dyDescent="0.3">
      <c r="A56" s="2">
        <v>52</v>
      </c>
      <c r="B56" s="3" t="str">
        <f t="shared" si="1"/>
        <v>6,93,14,91,5</v>
      </c>
      <c r="C56" s="3">
        <v>6.9</v>
      </c>
      <c r="D56" s="3">
        <v>3.1</v>
      </c>
      <c r="E56" s="3">
        <v>4.9000000000000004</v>
      </c>
      <c r="F56" s="3">
        <v>1.5</v>
      </c>
      <c r="G56" s="5">
        <v>1</v>
      </c>
      <c r="H56" s="2" t="s">
        <v>6</v>
      </c>
      <c r="J56" s="2">
        <v>52</v>
      </c>
      <c r="K56" s="3">
        <v>5.5</v>
      </c>
      <c r="L56" s="3">
        <v>2.4</v>
      </c>
      <c r="M56" s="3">
        <v>3.7</v>
      </c>
      <c r="N56" s="3">
        <v>1</v>
      </c>
      <c r="O56" s="5">
        <f t="shared" si="2"/>
        <v>1</v>
      </c>
      <c r="P56" s="4"/>
      <c r="Q56" s="3">
        <f t="shared" ca="1" si="3"/>
        <v>0.59999999999999964</v>
      </c>
      <c r="R56" s="3">
        <f t="shared" ca="1" si="4"/>
        <v>0.20000000000000018</v>
      </c>
      <c r="S56" s="3">
        <f t="shared" ca="1" si="5"/>
        <v>1.8999999999999995</v>
      </c>
      <c r="T56" s="3">
        <f t="shared" ca="1" si="6"/>
        <v>0.39999999999999991</v>
      </c>
      <c r="U56" s="3">
        <f t="shared" ca="1" si="7"/>
        <v>1.7606816861659007</v>
      </c>
      <c r="V56" s="2">
        <f t="shared" si="8"/>
        <v>52</v>
      </c>
      <c r="X56" s="17"/>
    </row>
    <row r="57" spans="1:24" x14ac:dyDescent="0.3">
      <c r="A57" s="2">
        <v>53</v>
      </c>
      <c r="B57" s="3" t="str">
        <f t="shared" si="1"/>
        <v>5,52,341,3</v>
      </c>
      <c r="C57" s="3">
        <v>5.5</v>
      </c>
      <c r="D57" s="3">
        <v>2.2999999999999998</v>
      </c>
      <c r="E57" s="3">
        <v>4</v>
      </c>
      <c r="F57" s="3">
        <v>1.3</v>
      </c>
      <c r="G57" s="5">
        <v>1</v>
      </c>
      <c r="H57" s="2" t="s">
        <v>6</v>
      </c>
      <c r="J57" s="2">
        <v>53</v>
      </c>
      <c r="K57" s="3">
        <v>6.4</v>
      </c>
      <c r="L57" s="3">
        <v>3.1</v>
      </c>
      <c r="M57" s="3">
        <v>5.5</v>
      </c>
      <c r="N57" s="3">
        <v>1.8</v>
      </c>
      <c r="O57" s="5">
        <f t="shared" si="2"/>
        <v>2</v>
      </c>
      <c r="P57" s="4"/>
      <c r="Q57" s="3">
        <f t="shared" ca="1" si="3"/>
        <v>0.30000000000000071</v>
      </c>
      <c r="R57" s="3">
        <f t="shared" ca="1" si="4"/>
        <v>0.5</v>
      </c>
      <c r="S57" s="3">
        <f t="shared" ca="1" si="5"/>
        <v>9.9999999999999645E-2</v>
      </c>
      <c r="T57" s="3">
        <f t="shared" ca="1" si="6"/>
        <v>0.40000000000000013</v>
      </c>
      <c r="U57" s="3">
        <f t="shared" ca="1" si="7"/>
        <v>1.1401754250991383</v>
      </c>
      <c r="V57" s="2">
        <f t="shared" si="8"/>
        <v>53</v>
      </c>
      <c r="X57" s="17"/>
    </row>
    <row r="58" spans="1:24" x14ac:dyDescent="0.3">
      <c r="A58" s="2">
        <v>54</v>
      </c>
      <c r="B58" s="3" t="str">
        <f t="shared" si="1"/>
        <v>6,52,84,61,5</v>
      </c>
      <c r="C58" s="3">
        <v>6.5</v>
      </c>
      <c r="D58" s="3">
        <v>2.8</v>
      </c>
      <c r="E58" s="3">
        <v>4.5999999999999996</v>
      </c>
      <c r="F58" s="3">
        <v>1.5</v>
      </c>
      <c r="G58" s="5">
        <v>1</v>
      </c>
      <c r="H58" s="2" t="s">
        <v>6</v>
      </c>
      <c r="J58" s="2">
        <v>54</v>
      </c>
      <c r="K58" s="3">
        <v>6.1</v>
      </c>
      <c r="L58" s="3">
        <v>3</v>
      </c>
      <c r="M58" s="3">
        <v>4.5999999999999996</v>
      </c>
      <c r="N58" s="3">
        <v>1.4</v>
      </c>
      <c r="O58" s="5">
        <f t="shared" si="2"/>
        <v>1</v>
      </c>
      <c r="P58" s="4"/>
      <c r="Q58" s="3">
        <f t="shared" ca="1" si="3"/>
        <v>0</v>
      </c>
      <c r="R58" s="3">
        <f t="shared" ca="1" si="4"/>
        <v>0.39999999999999991</v>
      </c>
      <c r="S58" s="3">
        <f t="shared" ca="1" si="5"/>
        <v>1</v>
      </c>
      <c r="T58" s="3">
        <f t="shared" ca="1" si="6"/>
        <v>0</v>
      </c>
      <c r="U58" s="3">
        <f t="shared" ca="1" si="7"/>
        <v>1.1832159566199232</v>
      </c>
      <c r="V58" s="2">
        <f t="shared" si="8"/>
        <v>54</v>
      </c>
      <c r="X58" s="17"/>
    </row>
    <row r="59" spans="1:24" x14ac:dyDescent="0.3">
      <c r="A59" s="2">
        <v>55</v>
      </c>
      <c r="B59" s="3" t="str">
        <f t="shared" si="1"/>
        <v>5,72,84,51,3</v>
      </c>
      <c r="C59" s="3">
        <v>5.7</v>
      </c>
      <c r="D59" s="3">
        <v>2.8</v>
      </c>
      <c r="E59" s="3">
        <v>4.5</v>
      </c>
      <c r="F59" s="3">
        <v>1.3</v>
      </c>
      <c r="G59" s="5">
        <v>1</v>
      </c>
      <c r="H59" s="2" t="s">
        <v>6</v>
      </c>
      <c r="J59" s="2">
        <v>55</v>
      </c>
      <c r="K59" s="3">
        <v>6.3</v>
      </c>
      <c r="L59" s="3">
        <v>2.9</v>
      </c>
      <c r="M59" s="3">
        <v>5.6</v>
      </c>
      <c r="N59" s="3">
        <v>1.8</v>
      </c>
      <c r="O59" s="5">
        <f t="shared" si="2"/>
        <v>2</v>
      </c>
      <c r="P59" s="4"/>
      <c r="Q59" s="3">
        <f t="shared" ca="1" si="3"/>
        <v>0.20000000000000018</v>
      </c>
      <c r="R59" s="3">
        <f t="shared" ca="1" si="4"/>
        <v>0.29999999999999982</v>
      </c>
      <c r="S59" s="3">
        <f t="shared" ca="1" si="5"/>
        <v>0</v>
      </c>
      <c r="T59" s="3">
        <f t="shared" ca="1" si="6"/>
        <v>0.40000000000000013</v>
      </c>
      <c r="U59" s="3">
        <f t="shared" ca="1" si="7"/>
        <v>0.94868329805051388</v>
      </c>
      <c r="V59" s="2">
        <f t="shared" si="8"/>
        <v>55</v>
      </c>
      <c r="X59" s="17"/>
    </row>
    <row r="60" spans="1:24" x14ac:dyDescent="0.3">
      <c r="A60" s="2">
        <v>56</v>
      </c>
      <c r="B60" s="3" t="str">
        <f t="shared" si="1"/>
        <v>6,33,34,71,6</v>
      </c>
      <c r="C60" s="3">
        <v>6.3</v>
      </c>
      <c r="D60" s="3">
        <v>3.3</v>
      </c>
      <c r="E60" s="3">
        <v>4.7</v>
      </c>
      <c r="F60" s="3">
        <v>1.6</v>
      </c>
      <c r="G60" s="5">
        <v>1</v>
      </c>
      <c r="H60" s="2" t="s">
        <v>6</v>
      </c>
      <c r="J60" s="2">
        <v>56</v>
      </c>
      <c r="K60" s="3">
        <v>5.0999999999999996</v>
      </c>
      <c r="L60" s="3">
        <v>3.4</v>
      </c>
      <c r="M60" s="3">
        <v>1.5</v>
      </c>
      <c r="N60" s="3">
        <v>0.2</v>
      </c>
      <c r="O60" s="5">
        <f t="shared" si="2"/>
        <v>0</v>
      </c>
      <c r="P60" s="4"/>
      <c r="Q60" s="3">
        <f t="shared" ca="1" si="3"/>
        <v>1</v>
      </c>
      <c r="R60" s="3">
        <f t="shared" ca="1" si="4"/>
        <v>0.79999999999999982</v>
      </c>
      <c r="S60" s="3">
        <f t="shared" ca="1" si="5"/>
        <v>4.0999999999999996</v>
      </c>
      <c r="T60" s="3">
        <f t="shared" ca="1" si="6"/>
        <v>1.2</v>
      </c>
      <c r="U60" s="3">
        <f t="shared" ca="1" si="7"/>
        <v>2.6645825188948455</v>
      </c>
      <c r="V60" s="2">
        <f t="shared" si="8"/>
        <v>56</v>
      </c>
      <c r="X60" s="17"/>
    </row>
    <row r="61" spans="1:24" x14ac:dyDescent="0.3">
      <c r="A61" s="2">
        <v>57</v>
      </c>
      <c r="B61" s="3" t="str">
        <f t="shared" si="1"/>
        <v>4,92,43,31</v>
      </c>
      <c r="C61" s="3">
        <v>4.9000000000000004</v>
      </c>
      <c r="D61" s="3">
        <v>2.4</v>
      </c>
      <c r="E61" s="3">
        <v>3.3</v>
      </c>
      <c r="F61" s="3">
        <v>1</v>
      </c>
      <c r="G61" s="5">
        <v>1</v>
      </c>
      <c r="H61" s="2" t="s">
        <v>6</v>
      </c>
      <c r="J61" s="2">
        <v>57</v>
      </c>
      <c r="K61" s="3">
        <v>5.7</v>
      </c>
      <c r="L61" s="3">
        <v>2.9</v>
      </c>
      <c r="M61" s="3">
        <v>4.2</v>
      </c>
      <c r="N61" s="3">
        <v>1.3</v>
      </c>
      <c r="O61" s="5">
        <f t="shared" si="2"/>
        <v>1</v>
      </c>
      <c r="P61" s="4"/>
      <c r="Q61" s="3">
        <f t="shared" ca="1" si="3"/>
        <v>0.39999999999999947</v>
      </c>
      <c r="R61" s="3">
        <f t="shared" ca="1" si="4"/>
        <v>0.29999999999999982</v>
      </c>
      <c r="S61" s="3">
        <f t="shared" ca="1" si="5"/>
        <v>1.3999999999999995</v>
      </c>
      <c r="T61" s="3">
        <f t="shared" ca="1" si="6"/>
        <v>9.9999999999999867E-2</v>
      </c>
      <c r="U61" s="3">
        <f t="shared" ca="1" si="7"/>
        <v>1.483239697419132</v>
      </c>
      <c r="V61" s="2">
        <f t="shared" si="8"/>
        <v>57</v>
      </c>
      <c r="X61" s="17"/>
    </row>
    <row r="62" spans="1:24" x14ac:dyDescent="0.3">
      <c r="A62" s="2">
        <v>58</v>
      </c>
      <c r="B62" s="3" t="str">
        <f t="shared" si="1"/>
        <v>6,62,94,61,3</v>
      </c>
      <c r="C62" s="3">
        <v>6.6</v>
      </c>
      <c r="D62" s="3">
        <v>2.9</v>
      </c>
      <c r="E62" s="3">
        <v>4.5999999999999996</v>
      </c>
      <c r="F62" s="3">
        <v>1.3</v>
      </c>
      <c r="G62" s="5">
        <v>1</v>
      </c>
      <c r="H62" s="2" t="s">
        <v>6</v>
      </c>
      <c r="J62" s="2">
        <v>58</v>
      </c>
      <c r="K62" s="3">
        <v>5</v>
      </c>
      <c r="L62" s="3">
        <v>3.6</v>
      </c>
      <c r="M62" s="3">
        <v>1.4</v>
      </c>
      <c r="N62" s="3">
        <v>0.2</v>
      </c>
      <c r="O62" s="5">
        <f t="shared" si="2"/>
        <v>0</v>
      </c>
      <c r="P62" s="4"/>
      <c r="Q62" s="3">
        <f t="shared" ca="1" si="3"/>
        <v>1.0999999999999996</v>
      </c>
      <c r="R62" s="3">
        <f t="shared" ca="1" si="4"/>
        <v>1</v>
      </c>
      <c r="S62" s="3">
        <f t="shared" ca="1" si="5"/>
        <v>4.1999999999999993</v>
      </c>
      <c r="T62" s="3">
        <f t="shared" ca="1" si="6"/>
        <v>1.2</v>
      </c>
      <c r="U62" s="3">
        <f t="shared" ca="1" si="7"/>
        <v>2.7386127875258306</v>
      </c>
      <c r="V62" s="2">
        <f t="shared" si="8"/>
        <v>58</v>
      </c>
      <c r="X62" s="17"/>
    </row>
    <row r="63" spans="1:24" x14ac:dyDescent="0.3">
      <c r="A63" s="2">
        <v>59</v>
      </c>
      <c r="B63" s="3" t="str">
        <f t="shared" si="1"/>
        <v>5,22,73,91,4</v>
      </c>
      <c r="C63" s="3">
        <v>5.2</v>
      </c>
      <c r="D63" s="3">
        <v>2.7</v>
      </c>
      <c r="E63" s="3">
        <v>3.9</v>
      </c>
      <c r="F63" s="3">
        <v>1.4</v>
      </c>
      <c r="G63" s="5">
        <v>1</v>
      </c>
      <c r="H63" s="2" t="s">
        <v>6</v>
      </c>
      <c r="J63" s="2">
        <v>59</v>
      </c>
      <c r="K63" s="3">
        <v>6.7</v>
      </c>
      <c r="L63" s="3">
        <v>3.1</v>
      </c>
      <c r="M63" s="3">
        <v>4.7</v>
      </c>
      <c r="N63" s="3">
        <v>1.5</v>
      </c>
      <c r="O63" s="5">
        <f t="shared" si="2"/>
        <v>1</v>
      </c>
      <c r="P63" s="4"/>
      <c r="Q63" s="3">
        <f t="shared" ca="1" si="3"/>
        <v>0.60000000000000053</v>
      </c>
      <c r="R63" s="3">
        <f t="shared" ca="1" si="4"/>
        <v>0.5</v>
      </c>
      <c r="S63" s="3">
        <f t="shared" ca="1" si="5"/>
        <v>0.89999999999999947</v>
      </c>
      <c r="T63" s="3">
        <f t="shared" ca="1" si="6"/>
        <v>0.10000000000000009</v>
      </c>
      <c r="U63" s="3">
        <f t="shared" ca="1" si="7"/>
        <v>1.4491376746189439</v>
      </c>
      <c r="V63" s="2">
        <f t="shared" si="8"/>
        <v>59</v>
      </c>
      <c r="X63" s="17"/>
    </row>
    <row r="64" spans="1:24" x14ac:dyDescent="0.3">
      <c r="A64" s="2">
        <v>60</v>
      </c>
      <c r="B64" s="3" t="str">
        <f t="shared" si="1"/>
        <v>523,51</v>
      </c>
      <c r="C64" s="3">
        <v>5</v>
      </c>
      <c r="D64" s="3">
        <v>2</v>
      </c>
      <c r="E64" s="3">
        <v>3.5</v>
      </c>
      <c r="F64" s="3">
        <v>1</v>
      </c>
      <c r="G64" s="5">
        <v>1</v>
      </c>
      <c r="H64" s="2" t="s">
        <v>6</v>
      </c>
      <c r="J64" s="2">
        <v>60</v>
      </c>
      <c r="K64" s="3">
        <v>6.8</v>
      </c>
      <c r="L64" s="3">
        <v>2.8</v>
      </c>
      <c r="M64" s="3">
        <v>4.8</v>
      </c>
      <c r="N64" s="3">
        <v>1.4</v>
      </c>
      <c r="O64" s="5">
        <f t="shared" si="2"/>
        <v>1</v>
      </c>
      <c r="P64" s="4"/>
      <c r="Q64" s="3">
        <f t="shared" ca="1" si="3"/>
        <v>0.70000000000000018</v>
      </c>
      <c r="R64" s="3">
        <f t="shared" ca="1" si="4"/>
        <v>0.19999999999999973</v>
      </c>
      <c r="S64" s="3">
        <f t="shared" ca="1" si="5"/>
        <v>0.79999999999999982</v>
      </c>
      <c r="T64" s="3">
        <f t="shared" ca="1" si="6"/>
        <v>0</v>
      </c>
      <c r="U64" s="3">
        <f t="shared" ca="1" si="7"/>
        <v>1.3038404810405297</v>
      </c>
      <c r="V64" s="2">
        <f t="shared" si="8"/>
        <v>60</v>
      </c>
      <c r="X64" s="17"/>
    </row>
    <row r="65" spans="1:24" x14ac:dyDescent="0.3">
      <c r="A65" s="2">
        <v>61</v>
      </c>
      <c r="B65" s="3" t="str">
        <f t="shared" si="1"/>
        <v>5,934,21,5</v>
      </c>
      <c r="C65" s="3">
        <v>5.9</v>
      </c>
      <c r="D65" s="3">
        <v>3</v>
      </c>
      <c r="E65" s="3">
        <v>4.2</v>
      </c>
      <c r="F65" s="3">
        <v>1.5</v>
      </c>
      <c r="G65" s="5">
        <v>1</v>
      </c>
      <c r="H65" s="2" t="s">
        <v>6</v>
      </c>
      <c r="J65" s="2">
        <v>61</v>
      </c>
      <c r="K65" s="3">
        <v>5.2</v>
      </c>
      <c r="L65" s="3">
        <v>2.7</v>
      </c>
      <c r="M65" s="3">
        <v>3.9</v>
      </c>
      <c r="N65" s="3">
        <v>1.4</v>
      </c>
      <c r="O65" s="5">
        <f t="shared" si="2"/>
        <v>1</v>
      </c>
      <c r="P65" s="4"/>
      <c r="Q65" s="3">
        <f t="shared" ca="1" si="3"/>
        <v>0.89999999999999947</v>
      </c>
      <c r="R65" s="3">
        <f t="shared" ca="1" si="4"/>
        <v>0.10000000000000009</v>
      </c>
      <c r="S65" s="3">
        <f t="shared" ca="1" si="5"/>
        <v>1.6999999999999997</v>
      </c>
      <c r="T65" s="3">
        <f t="shared" ca="1" si="6"/>
        <v>0</v>
      </c>
      <c r="U65" s="3">
        <f t="shared" ca="1" si="7"/>
        <v>1.6431676725154982</v>
      </c>
      <c r="V65" s="2">
        <f t="shared" si="8"/>
        <v>61</v>
      </c>
      <c r="X65" s="17"/>
    </row>
    <row r="66" spans="1:24" x14ac:dyDescent="0.3">
      <c r="A66" s="2">
        <v>62</v>
      </c>
      <c r="B66" s="3" t="str">
        <f t="shared" si="1"/>
        <v>62,241</v>
      </c>
      <c r="C66" s="3">
        <v>6</v>
      </c>
      <c r="D66" s="3">
        <v>2.2000000000000002</v>
      </c>
      <c r="E66" s="3">
        <v>4</v>
      </c>
      <c r="F66" s="3">
        <v>1</v>
      </c>
      <c r="G66" s="5">
        <v>1</v>
      </c>
      <c r="H66" s="2" t="s">
        <v>6</v>
      </c>
      <c r="J66" s="2">
        <v>62</v>
      </c>
      <c r="K66" s="3">
        <v>7.2</v>
      </c>
      <c r="L66" s="3">
        <v>3.6</v>
      </c>
      <c r="M66" s="3">
        <v>6.1</v>
      </c>
      <c r="N66" s="3">
        <v>2.5</v>
      </c>
      <c r="O66" s="5">
        <f t="shared" si="2"/>
        <v>2</v>
      </c>
      <c r="P66" s="4"/>
      <c r="Q66" s="3">
        <f t="shared" ca="1" si="3"/>
        <v>1.1000000000000005</v>
      </c>
      <c r="R66" s="3">
        <f t="shared" ca="1" si="4"/>
        <v>1</v>
      </c>
      <c r="S66" s="3">
        <f t="shared" ca="1" si="5"/>
        <v>0.5</v>
      </c>
      <c r="T66" s="3">
        <f t="shared" ca="1" si="6"/>
        <v>1.1000000000000001</v>
      </c>
      <c r="U66" s="3">
        <f t="shared" ca="1" si="7"/>
        <v>1.9235384061671346</v>
      </c>
      <c r="V66" s="2">
        <f t="shared" si="8"/>
        <v>62</v>
      </c>
      <c r="X66" s="17"/>
    </row>
    <row r="67" spans="1:24" x14ac:dyDescent="0.3">
      <c r="A67" s="2">
        <v>63</v>
      </c>
      <c r="B67" s="3" t="str">
        <f t="shared" si="1"/>
        <v>6,12,94,71,4</v>
      </c>
      <c r="C67" s="3">
        <v>6.1</v>
      </c>
      <c r="D67" s="3">
        <v>2.9</v>
      </c>
      <c r="E67" s="3">
        <v>4.7</v>
      </c>
      <c r="F67" s="3">
        <v>1.4</v>
      </c>
      <c r="G67" s="5">
        <v>1</v>
      </c>
      <c r="H67" s="2" t="s">
        <v>6</v>
      </c>
      <c r="J67" s="2">
        <v>63</v>
      </c>
      <c r="K67" s="3">
        <v>6</v>
      </c>
      <c r="L67" s="3">
        <v>2.7</v>
      </c>
      <c r="M67" s="3">
        <v>5.0999999999999996</v>
      </c>
      <c r="N67" s="3">
        <v>1.6</v>
      </c>
      <c r="O67" s="5">
        <f t="shared" si="2"/>
        <v>1</v>
      </c>
      <c r="P67" s="4"/>
      <c r="Q67" s="3">
        <f t="shared" ca="1" si="3"/>
        <v>9.9999999999999645E-2</v>
      </c>
      <c r="R67" s="3">
        <f t="shared" ca="1" si="4"/>
        <v>0.10000000000000009</v>
      </c>
      <c r="S67" s="3">
        <f t="shared" ca="1" si="5"/>
        <v>0.5</v>
      </c>
      <c r="T67" s="3">
        <f t="shared" ca="1" si="6"/>
        <v>0.20000000000000018</v>
      </c>
      <c r="U67" s="3">
        <f t="shared" ca="1" si="7"/>
        <v>0.94868329805051377</v>
      </c>
      <c r="V67" s="2">
        <f t="shared" si="8"/>
        <v>63</v>
      </c>
      <c r="X67" s="17"/>
    </row>
    <row r="68" spans="1:24" x14ac:dyDescent="0.3">
      <c r="A68" s="2">
        <v>64</v>
      </c>
      <c r="B68" s="3" t="str">
        <f t="shared" si="1"/>
        <v>5,62,93,61,3</v>
      </c>
      <c r="C68" s="3">
        <v>5.6</v>
      </c>
      <c r="D68" s="3">
        <v>2.9</v>
      </c>
      <c r="E68" s="3">
        <v>3.6</v>
      </c>
      <c r="F68" s="3">
        <v>1.3</v>
      </c>
      <c r="G68" s="5">
        <v>1</v>
      </c>
      <c r="H68" s="2" t="s">
        <v>6</v>
      </c>
      <c r="J68" s="2">
        <v>64</v>
      </c>
      <c r="K68" s="3">
        <v>6.4</v>
      </c>
      <c r="L68" s="3">
        <v>2.9</v>
      </c>
      <c r="M68" s="3">
        <v>4.3</v>
      </c>
      <c r="N68" s="3">
        <v>1.3</v>
      </c>
      <c r="O68" s="5">
        <f t="shared" si="2"/>
        <v>1</v>
      </c>
      <c r="P68" s="4"/>
      <c r="Q68" s="3">
        <f t="shared" ca="1" si="3"/>
        <v>0.30000000000000071</v>
      </c>
      <c r="R68" s="3">
        <f t="shared" ca="1" si="4"/>
        <v>0.29999999999999982</v>
      </c>
      <c r="S68" s="3">
        <f t="shared" ca="1" si="5"/>
        <v>1.2999999999999998</v>
      </c>
      <c r="T68" s="3">
        <f t="shared" ca="1" si="6"/>
        <v>9.9999999999999867E-2</v>
      </c>
      <c r="U68" s="3">
        <f t="shared" ca="1" si="7"/>
        <v>1.4142135623730951</v>
      </c>
      <c r="V68" s="2">
        <f t="shared" si="8"/>
        <v>64</v>
      </c>
      <c r="X68" s="17"/>
    </row>
    <row r="69" spans="1:24" x14ac:dyDescent="0.3">
      <c r="A69" s="2">
        <v>65</v>
      </c>
      <c r="B69" s="3" t="str">
        <f t="shared" ref="B69:B132" si="14">C69&amp;D69&amp;E69&amp;F69</f>
        <v>6,73,14,41,4</v>
      </c>
      <c r="C69" s="3">
        <v>6.7</v>
      </c>
      <c r="D69" s="3">
        <v>3.1</v>
      </c>
      <c r="E69" s="3">
        <v>4.4000000000000004</v>
      </c>
      <c r="F69" s="3">
        <v>1.4</v>
      </c>
      <c r="G69" s="5">
        <v>1</v>
      </c>
      <c r="H69" s="2" t="s">
        <v>6</v>
      </c>
      <c r="J69" s="2">
        <v>65</v>
      </c>
      <c r="K69" s="3">
        <v>6.3</v>
      </c>
      <c r="L69" s="3">
        <v>3.4</v>
      </c>
      <c r="M69" s="3">
        <v>5.6</v>
      </c>
      <c r="N69" s="3">
        <v>2.4</v>
      </c>
      <c r="O69" s="5">
        <f t="shared" ref="O69:O108" si="15">VLOOKUP(K69&amp;L69&amp;M69&amp;N69,$B:$G,6,0)</f>
        <v>2</v>
      </c>
      <c r="P69" s="4"/>
      <c r="Q69" s="3">
        <f t="shared" ref="Q69:Q108" ca="1" si="16">IF($U$3="L1",ABS(Q$3-K69),(Q$3-K69)^2)</f>
        <v>0.20000000000000018</v>
      </c>
      <c r="R69" s="3">
        <f t="shared" ref="R69:R108" ca="1" si="17">IF($U$3="L1",ABS(R$3-L69),(R$3-L69)^2)</f>
        <v>0.79999999999999982</v>
      </c>
      <c r="S69" s="3">
        <f t="shared" ref="S69:S108" ca="1" si="18">IF($U$3="L1",ABS(S$3-M69),(S$3-M69)^2)</f>
        <v>0</v>
      </c>
      <c r="T69" s="3">
        <f t="shared" ref="T69:T108" ca="1" si="19">IF($U$3="L1",ABS(T$3-N69),(T$3-N69)^2)</f>
        <v>1</v>
      </c>
      <c r="U69" s="3">
        <f t="shared" ref="U69:U108" ca="1" si="20">IF(U68="L1",SUM(Q69:T69),SQRT(SUM(Q69:T69)))</f>
        <v>1.4142135623730951</v>
      </c>
      <c r="V69" s="2">
        <f t="shared" ref="V69:V108" si="21">J69</f>
        <v>65</v>
      </c>
      <c r="X69" s="17"/>
    </row>
    <row r="70" spans="1:24" x14ac:dyDescent="0.3">
      <c r="A70" s="2">
        <v>66</v>
      </c>
      <c r="B70" s="3" t="str">
        <f t="shared" si="14"/>
        <v>5,634,51,5</v>
      </c>
      <c r="C70" s="3">
        <v>5.6</v>
      </c>
      <c r="D70" s="3">
        <v>3</v>
      </c>
      <c r="E70" s="3">
        <v>4.5</v>
      </c>
      <c r="F70" s="3">
        <v>1.5</v>
      </c>
      <c r="G70" s="5">
        <v>1</v>
      </c>
      <c r="H70" s="2" t="s">
        <v>6</v>
      </c>
      <c r="J70" s="2">
        <v>66</v>
      </c>
      <c r="K70" s="3">
        <v>5.6</v>
      </c>
      <c r="L70" s="3">
        <v>2.8</v>
      </c>
      <c r="M70" s="3">
        <v>4.9000000000000004</v>
      </c>
      <c r="N70" s="3">
        <v>2</v>
      </c>
      <c r="O70" s="5">
        <f t="shared" si="15"/>
        <v>2</v>
      </c>
      <c r="P70" s="4"/>
      <c r="Q70" s="3">
        <f t="shared" ca="1" si="16"/>
        <v>0.5</v>
      </c>
      <c r="R70" s="3">
        <f t="shared" ca="1" si="17"/>
        <v>0.19999999999999973</v>
      </c>
      <c r="S70" s="3">
        <f t="shared" ca="1" si="18"/>
        <v>0.69999999999999929</v>
      </c>
      <c r="T70" s="3">
        <f t="shared" ca="1" si="19"/>
        <v>0.60000000000000009</v>
      </c>
      <c r="U70" s="3">
        <f t="shared" ca="1" si="20"/>
        <v>1.4142135623730947</v>
      </c>
      <c r="V70" s="2">
        <f t="shared" si="21"/>
        <v>66</v>
      </c>
      <c r="X70" s="17"/>
    </row>
    <row r="71" spans="1:24" x14ac:dyDescent="0.3">
      <c r="A71" s="2">
        <v>67</v>
      </c>
      <c r="B71" s="3" t="str">
        <f t="shared" si="14"/>
        <v>5,82,74,11</v>
      </c>
      <c r="C71" s="3">
        <v>5.8</v>
      </c>
      <c r="D71" s="3">
        <v>2.7</v>
      </c>
      <c r="E71" s="3">
        <v>4.0999999999999996</v>
      </c>
      <c r="F71" s="3">
        <v>1</v>
      </c>
      <c r="G71" s="5">
        <v>1</v>
      </c>
      <c r="H71" s="2" t="s">
        <v>6</v>
      </c>
      <c r="J71" s="2">
        <v>67</v>
      </c>
      <c r="K71" s="3">
        <v>4.9000000000000004</v>
      </c>
      <c r="L71" s="3">
        <v>3.1</v>
      </c>
      <c r="M71" s="3">
        <v>1.5</v>
      </c>
      <c r="N71" s="3">
        <v>0.2</v>
      </c>
      <c r="O71" s="5">
        <f t="shared" si="15"/>
        <v>0</v>
      </c>
      <c r="P71" s="4"/>
      <c r="Q71" s="3">
        <f t="shared" ca="1" si="16"/>
        <v>1.1999999999999993</v>
      </c>
      <c r="R71" s="3">
        <f t="shared" ca="1" si="17"/>
        <v>0.5</v>
      </c>
      <c r="S71" s="3">
        <f t="shared" ca="1" si="18"/>
        <v>4.0999999999999996</v>
      </c>
      <c r="T71" s="3">
        <f t="shared" ca="1" si="19"/>
        <v>1.2</v>
      </c>
      <c r="U71" s="3">
        <f t="shared" ca="1" si="20"/>
        <v>2.6457513110645903</v>
      </c>
      <c r="V71" s="2">
        <f t="shared" si="21"/>
        <v>67</v>
      </c>
      <c r="X71" s="17"/>
    </row>
    <row r="72" spans="1:24" x14ac:dyDescent="0.3">
      <c r="A72" s="2">
        <v>68</v>
      </c>
      <c r="B72" s="3" t="str">
        <f t="shared" si="14"/>
        <v>6,22,24,51,5</v>
      </c>
      <c r="C72" s="3">
        <v>6.2</v>
      </c>
      <c r="D72" s="3">
        <v>2.2000000000000002</v>
      </c>
      <c r="E72" s="3">
        <v>4.5</v>
      </c>
      <c r="F72" s="3">
        <v>1.5</v>
      </c>
      <c r="G72" s="5">
        <v>1</v>
      </c>
      <c r="H72" s="2" t="s">
        <v>6</v>
      </c>
      <c r="J72" s="2">
        <v>68</v>
      </c>
      <c r="K72" s="3">
        <v>6.9</v>
      </c>
      <c r="L72" s="3">
        <v>3.2</v>
      </c>
      <c r="M72" s="3">
        <v>5.7</v>
      </c>
      <c r="N72" s="3">
        <v>2.2999999999999998</v>
      </c>
      <c r="O72" s="5">
        <f t="shared" si="15"/>
        <v>2</v>
      </c>
      <c r="P72" s="4"/>
      <c r="Q72" s="3">
        <f t="shared" ca="1" si="16"/>
        <v>0.80000000000000071</v>
      </c>
      <c r="R72" s="3">
        <f t="shared" ca="1" si="17"/>
        <v>0.60000000000000009</v>
      </c>
      <c r="S72" s="3">
        <f t="shared" ca="1" si="18"/>
        <v>0.10000000000000053</v>
      </c>
      <c r="T72" s="3">
        <f t="shared" ca="1" si="19"/>
        <v>0.89999999999999991</v>
      </c>
      <c r="U72" s="3">
        <f t="shared" ca="1" si="20"/>
        <v>1.5491933384829673</v>
      </c>
      <c r="V72" s="2">
        <f t="shared" si="21"/>
        <v>68</v>
      </c>
      <c r="X72" s="17"/>
    </row>
    <row r="73" spans="1:24" x14ac:dyDescent="0.3">
      <c r="A73" s="2">
        <v>69</v>
      </c>
      <c r="B73" s="3" t="str">
        <f t="shared" si="14"/>
        <v>5,62,53,91,1</v>
      </c>
      <c r="C73" s="3">
        <v>5.6</v>
      </c>
      <c r="D73" s="3">
        <v>2.5</v>
      </c>
      <c r="E73" s="3">
        <v>3.9</v>
      </c>
      <c r="F73" s="3">
        <v>1.1000000000000001</v>
      </c>
      <c r="G73" s="5">
        <v>1</v>
      </c>
      <c r="H73" s="2" t="s">
        <v>6</v>
      </c>
      <c r="J73" s="2">
        <v>69</v>
      </c>
      <c r="K73" s="3">
        <v>6.5</v>
      </c>
      <c r="L73" s="3">
        <v>2.8</v>
      </c>
      <c r="M73" s="3">
        <v>4.5999999999999996</v>
      </c>
      <c r="N73" s="3">
        <v>1.5</v>
      </c>
      <c r="O73" s="5">
        <f t="shared" si="15"/>
        <v>1</v>
      </c>
      <c r="P73" s="4"/>
      <c r="Q73" s="3">
        <f t="shared" ca="1" si="16"/>
        <v>0.40000000000000036</v>
      </c>
      <c r="R73" s="3">
        <f t="shared" ca="1" si="17"/>
        <v>0.19999999999999973</v>
      </c>
      <c r="S73" s="3">
        <f t="shared" ca="1" si="18"/>
        <v>1</v>
      </c>
      <c r="T73" s="3">
        <f t="shared" ca="1" si="19"/>
        <v>0.10000000000000009</v>
      </c>
      <c r="U73" s="3">
        <f t="shared" ca="1" si="20"/>
        <v>1.3038404810405297</v>
      </c>
      <c r="V73" s="2">
        <f t="shared" si="21"/>
        <v>69</v>
      </c>
      <c r="X73" s="17"/>
    </row>
    <row r="74" spans="1:24" x14ac:dyDescent="0.3">
      <c r="A74" s="2">
        <v>70</v>
      </c>
      <c r="B74" s="3" t="str">
        <f t="shared" si="14"/>
        <v>5,93,24,81,8</v>
      </c>
      <c r="C74" s="3">
        <v>5.9</v>
      </c>
      <c r="D74" s="3">
        <v>3.2</v>
      </c>
      <c r="E74" s="3">
        <v>4.8</v>
      </c>
      <c r="F74" s="3">
        <v>1.8</v>
      </c>
      <c r="G74" s="5">
        <v>1</v>
      </c>
      <c r="H74" s="2" t="s">
        <v>6</v>
      </c>
      <c r="J74" s="2">
        <v>70</v>
      </c>
      <c r="K74" s="3">
        <v>5.6</v>
      </c>
      <c r="L74" s="3">
        <v>3</v>
      </c>
      <c r="M74" s="3">
        <v>4.0999999999999996</v>
      </c>
      <c r="N74" s="3">
        <v>1.3</v>
      </c>
      <c r="O74" s="5">
        <f t="shared" si="15"/>
        <v>1</v>
      </c>
      <c r="P74" s="4"/>
      <c r="Q74" s="3">
        <f t="shared" ca="1" si="16"/>
        <v>0.5</v>
      </c>
      <c r="R74" s="3">
        <f t="shared" ca="1" si="17"/>
        <v>0.39999999999999991</v>
      </c>
      <c r="S74" s="3">
        <f t="shared" ca="1" si="18"/>
        <v>1.5</v>
      </c>
      <c r="T74" s="3">
        <f t="shared" ca="1" si="19"/>
        <v>9.9999999999999867E-2</v>
      </c>
      <c r="U74" s="3">
        <f t="shared" ca="1" si="20"/>
        <v>1.5811388300841898</v>
      </c>
      <c r="V74" s="2">
        <f t="shared" si="21"/>
        <v>70</v>
      </c>
      <c r="X74" s="17"/>
    </row>
    <row r="75" spans="1:24" x14ac:dyDescent="0.3">
      <c r="A75" s="2">
        <v>71</v>
      </c>
      <c r="B75" s="3" t="str">
        <f t="shared" si="14"/>
        <v>6,12,841,3</v>
      </c>
      <c r="C75" s="3">
        <v>6.1</v>
      </c>
      <c r="D75" s="3">
        <v>2.8</v>
      </c>
      <c r="E75" s="3">
        <v>4</v>
      </c>
      <c r="F75" s="3">
        <v>1.3</v>
      </c>
      <c r="G75" s="5">
        <v>1</v>
      </c>
      <c r="H75" s="2" t="s">
        <v>6</v>
      </c>
      <c r="J75" s="2">
        <v>71</v>
      </c>
      <c r="K75" s="3">
        <v>7.7</v>
      </c>
      <c r="L75" s="3">
        <v>2.6</v>
      </c>
      <c r="M75" s="3">
        <v>6.9</v>
      </c>
      <c r="N75" s="3">
        <v>2.2999999999999998</v>
      </c>
      <c r="O75" s="5">
        <f t="shared" si="15"/>
        <v>2</v>
      </c>
      <c r="P75" s="4"/>
      <c r="Q75" s="3">
        <f t="shared" ca="1" si="16"/>
        <v>1.6000000000000005</v>
      </c>
      <c r="R75" s="3">
        <f t="shared" ca="1" si="17"/>
        <v>0</v>
      </c>
      <c r="S75" s="3">
        <f t="shared" ca="1" si="18"/>
        <v>1.3000000000000007</v>
      </c>
      <c r="T75" s="3">
        <f t="shared" ca="1" si="19"/>
        <v>0.89999999999999991</v>
      </c>
      <c r="U75" s="3">
        <f t="shared" ca="1" si="20"/>
        <v>1.9493588689617931</v>
      </c>
      <c r="V75" s="2">
        <f t="shared" si="21"/>
        <v>71</v>
      </c>
      <c r="X75" s="17"/>
    </row>
    <row r="76" spans="1:24" x14ac:dyDescent="0.3">
      <c r="A76" s="2">
        <v>72</v>
      </c>
      <c r="B76" s="3" t="str">
        <f t="shared" si="14"/>
        <v>6,32,54,91,5</v>
      </c>
      <c r="C76" s="3">
        <v>6.3</v>
      </c>
      <c r="D76" s="3">
        <v>2.5</v>
      </c>
      <c r="E76" s="3">
        <v>4.9000000000000004</v>
      </c>
      <c r="F76" s="3">
        <v>1.5</v>
      </c>
      <c r="G76" s="5">
        <v>1</v>
      </c>
      <c r="H76" s="2" t="s">
        <v>6</v>
      </c>
      <c r="J76" s="2">
        <v>72</v>
      </c>
      <c r="K76" s="3">
        <v>5.2</v>
      </c>
      <c r="L76" s="3">
        <v>4.0999999999999996</v>
      </c>
      <c r="M76" s="3">
        <v>1.5</v>
      </c>
      <c r="N76" s="3">
        <v>0.1</v>
      </c>
      <c r="O76" s="5">
        <f t="shared" si="15"/>
        <v>0</v>
      </c>
      <c r="P76" s="4"/>
      <c r="Q76" s="3">
        <f t="shared" ca="1" si="16"/>
        <v>0.89999999999999947</v>
      </c>
      <c r="R76" s="3">
        <f t="shared" ca="1" si="17"/>
        <v>1.4999999999999996</v>
      </c>
      <c r="S76" s="3">
        <f t="shared" ca="1" si="18"/>
        <v>4.0999999999999996</v>
      </c>
      <c r="T76" s="3">
        <f t="shared" ca="1" si="19"/>
        <v>1.2999999999999998</v>
      </c>
      <c r="U76" s="3">
        <f t="shared" ca="1" si="20"/>
        <v>2.7928480087537877</v>
      </c>
      <c r="V76" s="2">
        <f t="shared" si="21"/>
        <v>72</v>
      </c>
      <c r="X76" s="17"/>
    </row>
    <row r="77" spans="1:24" x14ac:dyDescent="0.3">
      <c r="A77" s="2">
        <v>73</v>
      </c>
      <c r="B77" s="3" t="str">
        <f t="shared" si="14"/>
        <v>6,12,84,71,2</v>
      </c>
      <c r="C77" s="3">
        <v>6.1</v>
      </c>
      <c r="D77" s="3">
        <v>2.8</v>
      </c>
      <c r="E77" s="3">
        <v>4.7</v>
      </c>
      <c r="F77" s="3">
        <v>1.2</v>
      </c>
      <c r="G77" s="5">
        <v>1</v>
      </c>
      <c r="H77" s="2" t="s">
        <v>6</v>
      </c>
      <c r="J77" s="2">
        <v>73</v>
      </c>
      <c r="K77" s="3">
        <v>6.4</v>
      </c>
      <c r="L77" s="3">
        <v>3.2</v>
      </c>
      <c r="M77" s="3">
        <v>5.3</v>
      </c>
      <c r="N77" s="3">
        <v>2.2999999999999998</v>
      </c>
      <c r="O77" s="5">
        <f t="shared" si="15"/>
        <v>2</v>
      </c>
      <c r="P77" s="4"/>
      <c r="Q77" s="3">
        <f t="shared" ca="1" si="16"/>
        <v>0.30000000000000071</v>
      </c>
      <c r="R77" s="3">
        <f t="shared" ca="1" si="17"/>
        <v>0.60000000000000009</v>
      </c>
      <c r="S77" s="3">
        <f t="shared" ca="1" si="18"/>
        <v>0.29999999999999982</v>
      </c>
      <c r="T77" s="3">
        <f t="shared" ca="1" si="19"/>
        <v>0.89999999999999991</v>
      </c>
      <c r="U77" s="3">
        <f t="shared" ca="1" si="20"/>
        <v>1.4491376746189439</v>
      </c>
      <c r="V77" s="2">
        <f t="shared" si="21"/>
        <v>73</v>
      </c>
      <c r="X77" s="17"/>
    </row>
    <row r="78" spans="1:24" x14ac:dyDescent="0.3">
      <c r="A78" s="2">
        <v>74</v>
      </c>
      <c r="B78" s="3" t="str">
        <f t="shared" si="14"/>
        <v>6,42,94,31,3</v>
      </c>
      <c r="C78" s="3">
        <v>6.4</v>
      </c>
      <c r="D78" s="3">
        <v>2.9</v>
      </c>
      <c r="E78" s="3">
        <v>4.3</v>
      </c>
      <c r="F78" s="3">
        <v>1.3</v>
      </c>
      <c r="G78" s="5">
        <v>1</v>
      </c>
      <c r="H78" s="2" t="s">
        <v>6</v>
      </c>
      <c r="J78" s="2">
        <v>74</v>
      </c>
      <c r="K78" s="3">
        <v>5.9</v>
      </c>
      <c r="L78" s="3">
        <v>3</v>
      </c>
      <c r="M78" s="3">
        <v>5.0999999999999996</v>
      </c>
      <c r="N78" s="3">
        <v>1.8</v>
      </c>
      <c r="O78" s="5">
        <f t="shared" si="15"/>
        <v>2</v>
      </c>
      <c r="P78" s="4"/>
      <c r="Q78" s="3">
        <f t="shared" ca="1" si="16"/>
        <v>0.19999999999999929</v>
      </c>
      <c r="R78" s="3">
        <f t="shared" ca="1" si="17"/>
        <v>0.39999999999999991</v>
      </c>
      <c r="S78" s="3">
        <f t="shared" ca="1" si="18"/>
        <v>0.5</v>
      </c>
      <c r="T78" s="3">
        <f t="shared" ca="1" si="19"/>
        <v>0.40000000000000013</v>
      </c>
      <c r="U78" s="3">
        <f t="shared" ca="1" si="20"/>
        <v>1.2247448713915887</v>
      </c>
      <c r="V78" s="2">
        <f t="shared" si="21"/>
        <v>74</v>
      </c>
      <c r="X78" s="17"/>
    </row>
    <row r="79" spans="1:24" x14ac:dyDescent="0.3">
      <c r="A79" s="2">
        <v>75</v>
      </c>
      <c r="B79" s="3" t="str">
        <f t="shared" si="14"/>
        <v>6,634,41,4</v>
      </c>
      <c r="C79" s="3">
        <v>6.6</v>
      </c>
      <c r="D79" s="3">
        <v>3</v>
      </c>
      <c r="E79" s="3">
        <v>4.4000000000000004</v>
      </c>
      <c r="F79" s="3">
        <v>1.4</v>
      </c>
      <c r="G79" s="5">
        <v>1</v>
      </c>
      <c r="H79" s="2" t="s">
        <v>6</v>
      </c>
      <c r="J79" s="2">
        <v>75</v>
      </c>
      <c r="K79" s="3">
        <v>6.3</v>
      </c>
      <c r="L79" s="3">
        <v>2.2999999999999998</v>
      </c>
      <c r="M79" s="3">
        <v>4.4000000000000004</v>
      </c>
      <c r="N79" s="3">
        <v>1.3</v>
      </c>
      <c r="O79" s="5">
        <f t="shared" si="15"/>
        <v>1</v>
      </c>
      <c r="P79" s="4"/>
      <c r="Q79" s="3">
        <f t="shared" ca="1" si="16"/>
        <v>0.20000000000000018</v>
      </c>
      <c r="R79" s="3">
        <f t="shared" ca="1" si="17"/>
        <v>0.30000000000000027</v>
      </c>
      <c r="S79" s="3">
        <f t="shared" ca="1" si="18"/>
        <v>1.1999999999999993</v>
      </c>
      <c r="T79" s="3">
        <f t="shared" ca="1" si="19"/>
        <v>9.9999999999999867E-2</v>
      </c>
      <c r="U79" s="3">
        <f t="shared" ca="1" si="20"/>
        <v>1.3416407864998736</v>
      </c>
      <c r="V79" s="2">
        <f t="shared" si="21"/>
        <v>75</v>
      </c>
      <c r="X79" s="17"/>
    </row>
    <row r="80" spans="1:24" x14ac:dyDescent="0.3">
      <c r="A80" s="2">
        <v>76</v>
      </c>
      <c r="B80" s="3" t="str">
        <f t="shared" si="14"/>
        <v>6,82,84,81,4</v>
      </c>
      <c r="C80" s="3">
        <v>6.8</v>
      </c>
      <c r="D80" s="3">
        <v>2.8</v>
      </c>
      <c r="E80" s="3">
        <v>4.8</v>
      </c>
      <c r="F80" s="3">
        <v>1.4</v>
      </c>
      <c r="G80" s="5">
        <v>1</v>
      </c>
      <c r="H80" s="2" t="s">
        <v>6</v>
      </c>
      <c r="J80" s="2">
        <v>76</v>
      </c>
      <c r="K80" s="3">
        <v>4.8</v>
      </c>
      <c r="L80" s="3">
        <v>3.1</v>
      </c>
      <c r="M80" s="3">
        <v>1.6</v>
      </c>
      <c r="N80" s="3">
        <v>0.2</v>
      </c>
      <c r="O80" s="5">
        <f t="shared" si="15"/>
        <v>0</v>
      </c>
      <c r="P80" s="4"/>
      <c r="Q80" s="3">
        <f t="shared" ca="1" si="16"/>
        <v>1.2999999999999998</v>
      </c>
      <c r="R80" s="3">
        <f t="shared" ca="1" si="17"/>
        <v>0.5</v>
      </c>
      <c r="S80" s="3">
        <f t="shared" ca="1" si="18"/>
        <v>3.9999999999999996</v>
      </c>
      <c r="T80" s="3">
        <f t="shared" ca="1" si="19"/>
        <v>1.2</v>
      </c>
      <c r="U80" s="3">
        <f t="shared" ca="1" si="20"/>
        <v>2.6457513110645903</v>
      </c>
      <c r="V80" s="2">
        <f t="shared" si="21"/>
        <v>76</v>
      </c>
      <c r="X80" s="17"/>
    </row>
    <row r="81" spans="1:24" x14ac:dyDescent="0.3">
      <c r="A81" s="2">
        <v>77</v>
      </c>
      <c r="B81" s="3" t="str">
        <f t="shared" si="14"/>
        <v>6,7351,7</v>
      </c>
      <c r="C81" s="3">
        <v>6.7</v>
      </c>
      <c r="D81" s="3">
        <v>3</v>
      </c>
      <c r="E81" s="3">
        <v>5</v>
      </c>
      <c r="F81" s="3">
        <v>1.7</v>
      </c>
      <c r="G81" s="5">
        <v>1</v>
      </c>
      <c r="H81" s="2" t="s">
        <v>6</v>
      </c>
      <c r="J81" s="2">
        <v>77</v>
      </c>
      <c r="K81" s="3">
        <v>7.7</v>
      </c>
      <c r="L81" s="3">
        <v>3.8</v>
      </c>
      <c r="M81" s="3">
        <v>6.7</v>
      </c>
      <c r="N81" s="3">
        <v>2.2000000000000002</v>
      </c>
      <c r="O81" s="5">
        <f t="shared" si="15"/>
        <v>2</v>
      </c>
      <c r="P81" s="4"/>
      <c r="Q81" s="3">
        <f t="shared" ca="1" si="16"/>
        <v>1.6000000000000005</v>
      </c>
      <c r="R81" s="3">
        <f t="shared" ca="1" si="17"/>
        <v>1.1999999999999997</v>
      </c>
      <c r="S81" s="3">
        <f t="shared" ca="1" si="18"/>
        <v>1.1000000000000005</v>
      </c>
      <c r="T81" s="3">
        <f t="shared" ca="1" si="19"/>
        <v>0.80000000000000027</v>
      </c>
      <c r="U81" s="3">
        <f t="shared" ca="1" si="20"/>
        <v>2.1679483388678804</v>
      </c>
      <c r="V81" s="2">
        <f t="shared" si="21"/>
        <v>77</v>
      </c>
      <c r="X81" s="17"/>
    </row>
    <row r="82" spans="1:24" x14ac:dyDescent="0.3">
      <c r="A82" s="2">
        <v>78</v>
      </c>
      <c r="B82" s="3" t="str">
        <f t="shared" si="14"/>
        <v>62,94,51,5</v>
      </c>
      <c r="C82" s="3">
        <v>6</v>
      </c>
      <c r="D82" s="3">
        <v>2.9</v>
      </c>
      <c r="E82" s="3">
        <v>4.5</v>
      </c>
      <c r="F82" s="3">
        <v>1.5</v>
      </c>
      <c r="G82" s="5">
        <v>1</v>
      </c>
      <c r="H82" s="2" t="s">
        <v>6</v>
      </c>
      <c r="J82" s="2">
        <v>78</v>
      </c>
      <c r="K82" s="3">
        <v>6.8</v>
      </c>
      <c r="L82" s="3">
        <v>3</v>
      </c>
      <c r="M82" s="3">
        <v>5.5</v>
      </c>
      <c r="N82" s="3">
        <v>2.1</v>
      </c>
      <c r="O82" s="5">
        <f t="shared" si="15"/>
        <v>2</v>
      </c>
      <c r="P82" s="4"/>
      <c r="Q82" s="3">
        <f t="shared" ca="1" si="16"/>
        <v>0.70000000000000018</v>
      </c>
      <c r="R82" s="3">
        <f t="shared" ca="1" si="17"/>
        <v>0.39999999999999991</v>
      </c>
      <c r="S82" s="3">
        <f t="shared" ca="1" si="18"/>
        <v>9.9999999999999645E-2</v>
      </c>
      <c r="T82" s="3">
        <f t="shared" ca="1" si="19"/>
        <v>0.70000000000000018</v>
      </c>
      <c r="U82" s="3">
        <f t="shared" ca="1" si="20"/>
        <v>1.3784048752090221</v>
      </c>
      <c r="V82" s="2">
        <f t="shared" si="21"/>
        <v>78</v>
      </c>
      <c r="X82" s="17"/>
    </row>
    <row r="83" spans="1:24" x14ac:dyDescent="0.3">
      <c r="A83" s="2">
        <v>79</v>
      </c>
      <c r="B83" s="3" t="str">
        <f t="shared" si="14"/>
        <v>5,72,63,51</v>
      </c>
      <c r="C83" s="3">
        <v>5.7</v>
      </c>
      <c r="D83" s="3">
        <v>2.6</v>
      </c>
      <c r="E83" s="3">
        <v>3.5</v>
      </c>
      <c r="F83" s="3">
        <v>1</v>
      </c>
      <c r="G83" s="5">
        <v>1</v>
      </c>
      <c r="H83" s="2" t="s">
        <v>6</v>
      </c>
      <c r="J83" s="2">
        <v>79</v>
      </c>
      <c r="K83" s="3">
        <v>5.0999999999999996</v>
      </c>
      <c r="L83" s="3">
        <v>3.8</v>
      </c>
      <c r="M83" s="3">
        <v>1.9</v>
      </c>
      <c r="N83" s="3">
        <v>0.4</v>
      </c>
      <c r="O83" s="5">
        <f t="shared" si="15"/>
        <v>0</v>
      </c>
      <c r="P83" s="4"/>
      <c r="Q83" s="3">
        <f t="shared" ca="1" si="16"/>
        <v>1</v>
      </c>
      <c r="R83" s="3">
        <f t="shared" ca="1" si="17"/>
        <v>1.1999999999999997</v>
      </c>
      <c r="S83" s="3">
        <f t="shared" ca="1" si="18"/>
        <v>3.6999999999999997</v>
      </c>
      <c r="T83" s="3">
        <f t="shared" ca="1" si="19"/>
        <v>0.99999999999999989</v>
      </c>
      <c r="U83" s="3">
        <f t="shared" ca="1" si="20"/>
        <v>2.6267851073127395</v>
      </c>
      <c r="V83" s="2">
        <f t="shared" si="21"/>
        <v>79</v>
      </c>
      <c r="X83" s="17"/>
    </row>
    <row r="84" spans="1:24" x14ac:dyDescent="0.3">
      <c r="A84" s="2">
        <v>80</v>
      </c>
      <c r="B84" s="3" t="str">
        <f t="shared" si="14"/>
        <v>5,52,43,81,1</v>
      </c>
      <c r="C84" s="3">
        <v>5.5</v>
      </c>
      <c r="D84" s="3">
        <v>2.4</v>
      </c>
      <c r="E84" s="3">
        <v>3.8</v>
      </c>
      <c r="F84" s="3">
        <v>1.1000000000000001</v>
      </c>
      <c r="G84" s="5">
        <v>1</v>
      </c>
      <c r="H84" s="2" t="s">
        <v>6</v>
      </c>
      <c r="J84" s="2">
        <v>80</v>
      </c>
      <c r="K84" s="3">
        <v>4.3</v>
      </c>
      <c r="L84" s="3">
        <v>3</v>
      </c>
      <c r="M84" s="3">
        <v>1.1000000000000001</v>
      </c>
      <c r="N84" s="3">
        <v>0.1</v>
      </c>
      <c r="O84" s="5">
        <f t="shared" si="15"/>
        <v>0</v>
      </c>
      <c r="P84" s="4"/>
      <c r="Q84" s="3">
        <f t="shared" ca="1" si="16"/>
        <v>1.7999999999999998</v>
      </c>
      <c r="R84" s="3">
        <f t="shared" ca="1" si="17"/>
        <v>0.39999999999999991</v>
      </c>
      <c r="S84" s="3">
        <f t="shared" ca="1" si="18"/>
        <v>4.5</v>
      </c>
      <c r="T84" s="3">
        <f t="shared" ca="1" si="19"/>
        <v>1.2999999999999998</v>
      </c>
      <c r="U84" s="3">
        <f t="shared" ca="1" si="20"/>
        <v>2.8284271247461898</v>
      </c>
      <c r="V84" s="2">
        <f t="shared" si="21"/>
        <v>80</v>
      </c>
      <c r="X84" s="17"/>
    </row>
    <row r="85" spans="1:24" x14ac:dyDescent="0.3">
      <c r="A85" s="2">
        <v>81</v>
      </c>
      <c r="B85" s="3" t="str">
        <f t="shared" si="14"/>
        <v>5,52,43,71</v>
      </c>
      <c r="C85" s="3">
        <v>5.5</v>
      </c>
      <c r="D85" s="3">
        <v>2.4</v>
      </c>
      <c r="E85" s="3">
        <v>3.7</v>
      </c>
      <c r="F85" s="3">
        <v>1</v>
      </c>
      <c r="G85" s="5">
        <v>1</v>
      </c>
      <c r="H85" s="2" t="s">
        <v>6</v>
      </c>
      <c r="J85" s="2">
        <v>81</v>
      </c>
      <c r="K85" s="3">
        <v>6.2</v>
      </c>
      <c r="L85" s="3">
        <v>2.8</v>
      </c>
      <c r="M85" s="3">
        <v>4.8</v>
      </c>
      <c r="N85" s="3">
        <v>1.8</v>
      </c>
      <c r="O85" s="5">
        <f t="shared" si="15"/>
        <v>2</v>
      </c>
      <c r="P85" s="4"/>
      <c r="Q85" s="3">
        <f t="shared" ca="1" si="16"/>
        <v>0.10000000000000053</v>
      </c>
      <c r="R85" s="3">
        <f t="shared" ca="1" si="17"/>
        <v>0.19999999999999973</v>
      </c>
      <c r="S85" s="3">
        <f t="shared" ca="1" si="18"/>
        <v>0.79999999999999982</v>
      </c>
      <c r="T85" s="3">
        <f t="shared" ca="1" si="19"/>
        <v>0.40000000000000013</v>
      </c>
      <c r="U85" s="3">
        <f t="shared" ca="1" si="20"/>
        <v>1.2247448713915892</v>
      </c>
      <c r="V85" s="2">
        <f t="shared" si="21"/>
        <v>81</v>
      </c>
      <c r="X85" s="17"/>
    </row>
    <row r="86" spans="1:24" x14ac:dyDescent="0.3">
      <c r="A86" s="2">
        <v>82</v>
      </c>
      <c r="B86" s="3" t="str">
        <f t="shared" si="14"/>
        <v>5,82,73,91,2</v>
      </c>
      <c r="C86" s="3">
        <v>5.8</v>
      </c>
      <c r="D86" s="3">
        <v>2.7</v>
      </c>
      <c r="E86" s="3">
        <v>3.9</v>
      </c>
      <c r="F86" s="3">
        <v>1.2</v>
      </c>
      <c r="G86" s="5">
        <v>1</v>
      </c>
      <c r="H86" s="2" t="s">
        <v>6</v>
      </c>
      <c r="J86" s="2">
        <v>82</v>
      </c>
      <c r="K86" s="3">
        <v>7.2</v>
      </c>
      <c r="L86" s="3">
        <v>3</v>
      </c>
      <c r="M86" s="3">
        <v>5.8</v>
      </c>
      <c r="N86" s="3">
        <v>1.6</v>
      </c>
      <c r="O86" s="5">
        <f t="shared" si="15"/>
        <v>2</v>
      </c>
      <c r="P86" s="4"/>
      <c r="Q86" s="3">
        <f t="shared" ca="1" si="16"/>
        <v>1.1000000000000005</v>
      </c>
      <c r="R86" s="3">
        <f t="shared" ca="1" si="17"/>
        <v>0.39999999999999991</v>
      </c>
      <c r="S86" s="3">
        <f t="shared" ca="1" si="18"/>
        <v>0.20000000000000018</v>
      </c>
      <c r="T86" s="3">
        <f t="shared" ca="1" si="19"/>
        <v>0.20000000000000018</v>
      </c>
      <c r="U86" s="3">
        <f t="shared" ca="1" si="20"/>
        <v>1.3784048752090226</v>
      </c>
      <c r="V86" s="2">
        <f t="shared" si="21"/>
        <v>82</v>
      </c>
      <c r="X86" s="17"/>
    </row>
    <row r="87" spans="1:24" x14ac:dyDescent="0.3">
      <c r="A87" s="2">
        <v>83</v>
      </c>
      <c r="B87" s="3" t="str">
        <f t="shared" si="14"/>
        <v>62,75,11,6</v>
      </c>
      <c r="C87" s="3">
        <v>6</v>
      </c>
      <c r="D87" s="3">
        <v>2.7</v>
      </c>
      <c r="E87" s="3">
        <v>5.0999999999999996</v>
      </c>
      <c r="F87" s="3">
        <v>1.6</v>
      </c>
      <c r="G87" s="5">
        <v>1</v>
      </c>
      <c r="H87" s="2" t="s">
        <v>6</v>
      </c>
      <c r="J87" s="2">
        <v>83</v>
      </c>
      <c r="K87" s="3">
        <v>5.8</v>
      </c>
      <c r="L87" s="3">
        <v>2.8</v>
      </c>
      <c r="M87" s="3">
        <v>5.0999999999999996</v>
      </c>
      <c r="N87" s="3">
        <v>2.4</v>
      </c>
      <c r="O87" s="5">
        <f t="shared" si="15"/>
        <v>2</v>
      </c>
      <c r="P87" s="4"/>
      <c r="Q87" s="3">
        <f t="shared" ca="1" si="16"/>
        <v>0.29999999999999982</v>
      </c>
      <c r="R87" s="3">
        <f t="shared" ca="1" si="17"/>
        <v>0.19999999999999973</v>
      </c>
      <c r="S87" s="3">
        <f t="shared" ca="1" si="18"/>
        <v>0.5</v>
      </c>
      <c r="T87" s="3">
        <f t="shared" ca="1" si="19"/>
        <v>1</v>
      </c>
      <c r="U87" s="3">
        <f t="shared" ca="1" si="20"/>
        <v>1.4142135623730949</v>
      </c>
      <c r="V87" s="2">
        <f t="shared" si="21"/>
        <v>83</v>
      </c>
      <c r="X87" s="17"/>
    </row>
    <row r="88" spans="1:24" x14ac:dyDescent="0.3">
      <c r="A88" s="2">
        <v>84</v>
      </c>
      <c r="B88" s="3" t="str">
        <f t="shared" si="14"/>
        <v>5,434,51,5</v>
      </c>
      <c r="C88" s="3">
        <v>5.4</v>
      </c>
      <c r="D88" s="3">
        <v>3</v>
      </c>
      <c r="E88" s="3">
        <v>4.5</v>
      </c>
      <c r="F88" s="3">
        <v>1.5</v>
      </c>
      <c r="G88" s="5">
        <v>1</v>
      </c>
      <c r="H88" s="2" t="s">
        <v>6</v>
      </c>
      <c r="J88" s="2">
        <v>84</v>
      </c>
      <c r="K88" s="3">
        <v>5.4</v>
      </c>
      <c r="L88" s="3">
        <v>3.9</v>
      </c>
      <c r="M88" s="3">
        <v>1.7</v>
      </c>
      <c r="N88" s="3">
        <v>0.4</v>
      </c>
      <c r="O88" s="5">
        <f t="shared" si="15"/>
        <v>0</v>
      </c>
      <c r="P88" s="4"/>
      <c r="Q88" s="3">
        <f t="shared" ca="1" si="16"/>
        <v>0.69999999999999929</v>
      </c>
      <c r="R88" s="3">
        <f t="shared" ca="1" si="17"/>
        <v>1.2999999999999998</v>
      </c>
      <c r="S88" s="3">
        <f t="shared" ca="1" si="18"/>
        <v>3.8999999999999995</v>
      </c>
      <c r="T88" s="3">
        <f t="shared" ca="1" si="19"/>
        <v>0.99999999999999989</v>
      </c>
      <c r="U88" s="3">
        <f t="shared" ca="1" si="20"/>
        <v>2.6267851073127391</v>
      </c>
      <c r="V88" s="2">
        <f t="shared" si="21"/>
        <v>84</v>
      </c>
      <c r="X88" s="17"/>
    </row>
    <row r="89" spans="1:24" x14ac:dyDescent="0.3">
      <c r="A89" s="2">
        <v>85</v>
      </c>
      <c r="B89" s="3" t="str">
        <f t="shared" si="14"/>
        <v>63,44,51,6</v>
      </c>
      <c r="C89" s="3">
        <v>6</v>
      </c>
      <c r="D89" s="3">
        <v>3.4</v>
      </c>
      <c r="E89" s="3">
        <v>4.5</v>
      </c>
      <c r="F89" s="3">
        <v>1.6</v>
      </c>
      <c r="G89" s="5">
        <v>1</v>
      </c>
      <c r="H89" s="2" t="s">
        <v>6</v>
      </c>
      <c r="J89" s="2">
        <v>85</v>
      </c>
      <c r="K89" s="3">
        <v>5.8</v>
      </c>
      <c r="L89" s="3">
        <v>2.7</v>
      </c>
      <c r="M89" s="3">
        <v>5.0999999999999996</v>
      </c>
      <c r="N89" s="3">
        <v>1.9</v>
      </c>
      <c r="O89" s="5">
        <f t="shared" si="15"/>
        <v>2</v>
      </c>
      <c r="P89" s="4"/>
      <c r="Q89" s="3">
        <f t="shared" ca="1" si="16"/>
        <v>0.29999999999999982</v>
      </c>
      <c r="R89" s="3">
        <f t="shared" ca="1" si="17"/>
        <v>0.10000000000000009</v>
      </c>
      <c r="S89" s="3">
        <f t="shared" ca="1" si="18"/>
        <v>0.5</v>
      </c>
      <c r="T89" s="3">
        <f t="shared" ca="1" si="19"/>
        <v>0.5</v>
      </c>
      <c r="U89" s="3">
        <f t="shared" ca="1" si="20"/>
        <v>1.1832159566199232</v>
      </c>
      <c r="V89" s="2">
        <f t="shared" si="21"/>
        <v>85</v>
      </c>
      <c r="X89" s="17"/>
    </row>
    <row r="90" spans="1:24" x14ac:dyDescent="0.3">
      <c r="A90" s="2">
        <v>86</v>
      </c>
      <c r="B90" s="3" t="str">
        <f t="shared" si="14"/>
        <v>6,73,14,71,5</v>
      </c>
      <c r="C90" s="3">
        <v>6.7</v>
      </c>
      <c r="D90" s="3">
        <v>3.1</v>
      </c>
      <c r="E90" s="3">
        <v>4.7</v>
      </c>
      <c r="F90" s="3">
        <v>1.5</v>
      </c>
      <c r="G90" s="5">
        <v>1</v>
      </c>
      <c r="H90" s="2" t="s">
        <v>6</v>
      </c>
      <c r="J90" s="2">
        <v>86</v>
      </c>
      <c r="K90" s="3">
        <v>5</v>
      </c>
      <c r="L90" s="3">
        <v>2</v>
      </c>
      <c r="M90" s="3">
        <v>3.5</v>
      </c>
      <c r="N90" s="3">
        <v>1</v>
      </c>
      <c r="O90" s="5">
        <f t="shared" si="15"/>
        <v>1</v>
      </c>
      <c r="P90" s="4"/>
      <c r="Q90" s="3">
        <f t="shared" ca="1" si="16"/>
        <v>1.0999999999999996</v>
      </c>
      <c r="R90" s="3">
        <f t="shared" ca="1" si="17"/>
        <v>0.60000000000000009</v>
      </c>
      <c r="S90" s="3">
        <f t="shared" ca="1" si="18"/>
        <v>2.0999999999999996</v>
      </c>
      <c r="T90" s="3">
        <f t="shared" ca="1" si="19"/>
        <v>0.39999999999999991</v>
      </c>
      <c r="U90" s="3">
        <f t="shared" ca="1" si="20"/>
        <v>2.0493901531919194</v>
      </c>
      <c r="V90" s="2">
        <f t="shared" si="21"/>
        <v>86</v>
      </c>
      <c r="X90" s="17"/>
    </row>
    <row r="91" spans="1:24" x14ac:dyDescent="0.3">
      <c r="A91" s="2">
        <v>87</v>
      </c>
      <c r="B91" s="3" t="str">
        <f t="shared" si="14"/>
        <v>6,32,34,41,3</v>
      </c>
      <c r="C91" s="3">
        <v>6.3</v>
      </c>
      <c r="D91" s="3">
        <v>2.2999999999999998</v>
      </c>
      <c r="E91" s="3">
        <v>4.4000000000000004</v>
      </c>
      <c r="F91" s="3">
        <v>1.3</v>
      </c>
      <c r="G91" s="5">
        <v>1</v>
      </c>
      <c r="H91" s="2" t="s">
        <v>6</v>
      </c>
      <c r="J91" s="2">
        <v>87</v>
      </c>
      <c r="K91" s="3">
        <v>6.7</v>
      </c>
      <c r="L91" s="3">
        <v>3.3</v>
      </c>
      <c r="M91" s="3">
        <v>5.7</v>
      </c>
      <c r="N91" s="3">
        <v>2.1</v>
      </c>
      <c r="O91" s="5">
        <f t="shared" si="15"/>
        <v>2</v>
      </c>
      <c r="P91" s="4"/>
      <c r="Q91" s="3">
        <f t="shared" ca="1" si="16"/>
        <v>0.60000000000000053</v>
      </c>
      <c r="R91" s="3">
        <f t="shared" ca="1" si="17"/>
        <v>0.69999999999999973</v>
      </c>
      <c r="S91" s="3">
        <f t="shared" ca="1" si="18"/>
        <v>0.10000000000000053</v>
      </c>
      <c r="T91" s="3">
        <f t="shared" ca="1" si="19"/>
        <v>0.70000000000000018</v>
      </c>
      <c r="U91" s="3">
        <f t="shared" ca="1" si="20"/>
        <v>1.4491376746189442</v>
      </c>
      <c r="V91" s="2">
        <f t="shared" si="21"/>
        <v>87</v>
      </c>
      <c r="X91" s="17"/>
    </row>
    <row r="92" spans="1:24" x14ac:dyDescent="0.3">
      <c r="A92" s="2">
        <v>88</v>
      </c>
      <c r="B92" s="3" t="str">
        <f t="shared" si="14"/>
        <v>5,634,11,3</v>
      </c>
      <c r="C92" s="3">
        <v>5.6</v>
      </c>
      <c r="D92" s="3">
        <v>3</v>
      </c>
      <c r="E92" s="3">
        <v>4.0999999999999996</v>
      </c>
      <c r="F92" s="3">
        <v>1.3</v>
      </c>
      <c r="G92" s="5">
        <v>1</v>
      </c>
      <c r="H92" s="2" t="s">
        <v>6</v>
      </c>
      <c r="J92" s="2">
        <v>88</v>
      </c>
      <c r="K92" s="3">
        <v>7.4</v>
      </c>
      <c r="L92" s="3">
        <v>2.8</v>
      </c>
      <c r="M92" s="3">
        <v>6.1</v>
      </c>
      <c r="N92" s="3">
        <v>1.9</v>
      </c>
      <c r="O92" s="5">
        <f t="shared" si="15"/>
        <v>2</v>
      </c>
      <c r="P92" s="4"/>
      <c r="Q92" s="3">
        <f t="shared" ca="1" si="16"/>
        <v>1.3000000000000007</v>
      </c>
      <c r="R92" s="3">
        <f t="shared" ca="1" si="17"/>
        <v>0.19999999999999973</v>
      </c>
      <c r="S92" s="3">
        <f t="shared" ca="1" si="18"/>
        <v>0.5</v>
      </c>
      <c r="T92" s="3">
        <f t="shared" ca="1" si="19"/>
        <v>0.5</v>
      </c>
      <c r="U92" s="3">
        <f t="shared" ca="1" si="20"/>
        <v>1.5811388300841898</v>
      </c>
      <c r="V92" s="2">
        <f t="shared" si="21"/>
        <v>88</v>
      </c>
      <c r="X92" s="17"/>
    </row>
    <row r="93" spans="1:24" x14ac:dyDescent="0.3">
      <c r="A93" s="2">
        <v>89</v>
      </c>
      <c r="B93" s="3" t="str">
        <f t="shared" si="14"/>
        <v>5,52,541,3</v>
      </c>
      <c r="C93" s="3">
        <v>5.5</v>
      </c>
      <c r="D93" s="3">
        <v>2.5</v>
      </c>
      <c r="E93" s="3">
        <v>4</v>
      </c>
      <c r="F93" s="3">
        <v>1.3</v>
      </c>
      <c r="G93" s="5">
        <v>1</v>
      </c>
      <c r="H93" s="2" t="s">
        <v>6</v>
      </c>
      <c r="J93" s="2">
        <v>89</v>
      </c>
      <c r="K93" s="3">
        <v>5.3</v>
      </c>
      <c r="L93" s="3">
        <v>3.7</v>
      </c>
      <c r="M93" s="3">
        <v>1.5</v>
      </c>
      <c r="N93" s="3">
        <v>0.2</v>
      </c>
      <c r="O93" s="5">
        <f t="shared" si="15"/>
        <v>0</v>
      </c>
      <c r="P93" s="4"/>
      <c r="Q93" s="3">
        <f t="shared" ca="1" si="16"/>
        <v>0.79999999999999982</v>
      </c>
      <c r="R93" s="3">
        <f t="shared" ca="1" si="17"/>
        <v>1.1000000000000001</v>
      </c>
      <c r="S93" s="3">
        <f t="shared" ca="1" si="18"/>
        <v>4.0999999999999996</v>
      </c>
      <c r="T93" s="3">
        <f t="shared" ca="1" si="19"/>
        <v>1.2</v>
      </c>
      <c r="U93" s="3">
        <f t="shared" ca="1" si="20"/>
        <v>2.6832815729997477</v>
      </c>
      <c r="V93" s="2">
        <f t="shared" si="21"/>
        <v>89</v>
      </c>
      <c r="X93" s="17"/>
    </row>
    <row r="94" spans="1:24" x14ac:dyDescent="0.3">
      <c r="A94" s="2">
        <v>90</v>
      </c>
      <c r="B94" s="3" t="str">
        <f t="shared" si="14"/>
        <v>5,52,64,41,2</v>
      </c>
      <c r="C94" s="3">
        <v>5.5</v>
      </c>
      <c r="D94" s="3">
        <v>2.6</v>
      </c>
      <c r="E94" s="3">
        <v>4.4000000000000004</v>
      </c>
      <c r="F94" s="3">
        <v>1.2</v>
      </c>
      <c r="G94" s="5">
        <v>1</v>
      </c>
      <c r="H94" s="2" t="s">
        <v>6</v>
      </c>
      <c r="J94" s="2">
        <v>90</v>
      </c>
      <c r="K94" s="3">
        <v>6.1</v>
      </c>
      <c r="L94" s="3">
        <v>2.8</v>
      </c>
      <c r="M94" s="3">
        <v>4.7</v>
      </c>
      <c r="N94" s="3">
        <v>1.2</v>
      </c>
      <c r="O94" s="5">
        <f t="shared" si="15"/>
        <v>1</v>
      </c>
      <c r="P94" s="4"/>
      <c r="Q94" s="3">
        <f t="shared" ca="1" si="16"/>
        <v>0</v>
      </c>
      <c r="R94" s="3">
        <f t="shared" ca="1" si="17"/>
        <v>0.19999999999999973</v>
      </c>
      <c r="S94" s="3">
        <f t="shared" ca="1" si="18"/>
        <v>0.89999999999999947</v>
      </c>
      <c r="T94" s="3">
        <f t="shared" ca="1" si="19"/>
        <v>0.19999999999999996</v>
      </c>
      <c r="U94" s="3">
        <f t="shared" ca="1" si="20"/>
        <v>1.1401754250991376</v>
      </c>
      <c r="V94" s="2">
        <f t="shared" si="21"/>
        <v>90</v>
      </c>
      <c r="X94" s="17"/>
    </row>
    <row r="95" spans="1:24" x14ac:dyDescent="0.3">
      <c r="A95" s="2">
        <v>91</v>
      </c>
      <c r="B95" s="3" t="str">
        <f t="shared" si="14"/>
        <v>6,134,61,4</v>
      </c>
      <c r="C95" s="3">
        <v>6.1</v>
      </c>
      <c r="D95" s="3">
        <v>3</v>
      </c>
      <c r="E95" s="3">
        <v>4.5999999999999996</v>
      </c>
      <c r="F95" s="3">
        <v>1.4</v>
      </c>
      <c r="G95" s="5">
        <v>1</v>
      </c>
      <c r="H95" s="2" t="s">
        <v>6</v>
      </c>
      <c r="J95" s="2">
        <v>91</v>
      </c>
      <c r="K95" s="3">
        <v>5.5</v>
      </c>
      <c r="L95" s="3">
        <v>2.6</v>
      </c>
      <c r="M95" s="3">
        <v>4.4000000000000004</v>
      </c>
      <c r="N95" s="3">
        <v>1.2</v>
      </c>
      <c r="O95" s="5">
        <f t="shared" si="15"/>
        <v>1</v>
      </c>
      <c r="P95" s="4"/>
      <c r="Q95" s="3">
        <f t="shared" ca="1" si="16"/>
        <v>0.59999999999999964</v>
      </c>
      <c r="R95" s="3">
        <f t="shared" ca="1" si="17"/>
        <v>0</v>
      </c>
      <c r="S95" s="3">
        <f t="shared" ca="1" si="18"/>
        <v>1.1999999999999993</v>
      </c>
      <c r="T95" s="3">
        <f t="shared" ca="1" si="19"/>
        <v>0.19999999999999996</v>
      </c>
      <c r="U95" s="3">
        <f t="shared" ca="1" si="20"/>
        <v>1.4142135623730947</v>
      </c>
      <c r="V95" s="2">
        <f t="shared" si="21"/>
        <v>91</v>
      </c>
      <c r="X95" s="17"/>
    </row>
    <row r="96" spans="1:24" x14ac:dyDescent="0.3">
      <c r="A96" s="2">
        <v>92</v>
      </c>
      <c r="B96" s="3" t="str">
        <f t="shared" si="14"/>
        <v>5,82,641,2</v>
      </c>
      <c r="C96" s="3">
        <v>5.8</v>
      </c>
      <c r="D96" s="3">
        <v>2.6</v>
      </c>
      <c r="E96" s="3">
        <v>4</v>
      </c>
      <c r="F96" s="3">
        <v>1.2</v>
      </c>
      <c r="G96" s="5">
        <v>1</v>
      </c>
      <c r="H96" s="2" t="s">
        <v>6</v>
      </c>
      <c r="J96" s="2">
        <v>92</v>
      </c>
      <c r="K96" s="3">
        <v>7</v>
      </c>
      <c r="L96" s="3">
        <v>3.2</v>
      </c>
      <c r="M96" s="3">
        <v>4.7</v>
      </c>
      <c r="N96" s="3">
        <v>1.4</v>
      </c>
      <c r="O96" s="5">
        <f t="shared" si="15"/>
        <v>1</v>
      </c>
      <c r="P96" s="4"/>
      <c r="Q96" s="3">
        <f t="shared" ca="1" si="16"/>
        <v>0.90000000000000036</v>
      </c>
      <c r="R96" s="3">
        <f t="shared" ca="1" si="17"/>
        <v>0.60000000000000009</v>
      </c>
      <c r="S96" s="3">
        <f t="shared" ca="1" si="18"/>
        <v>0.89999999999999947</v>
      </c>
      <c r="T96" s="3">
        <f t="shared" ca="1" si="19"/>
        <v>0</v>
      </c>
      <c r="U96" s="3">
        <f t="shared" ca="1" si="20"/>
        <v>1.5491933384829668</v>
      </c>
      <c r="V96" s="2">
        <f t="shared" si="21"/>
        <v>92</v>
      </c>
      <c r="X96" s="17"/>
    </row>
    <row r="97" spans="1:24" x14ac:dyDescent="0.3">
      <c r="A97" s="2">
        <v>93</v>
      </c>
      <c r="B97" s="3" t="str">
        <f t="shared" si="14"/>
        <v>52,33,31</v>
      </c>
      <c r="C97" s="3">
        <v>5</v>
      </c>
      <c r="D97" s="3">
        <v>2.2999999999999998</v>
      </c>
      <c r="E97" s="3">
        <v>3.3</v>
      </c>
      <c r="F97" s="3">
        <v>1</v>
      </c>
      <c r="G97" s="5">
        <v>1</v>
      </c>
      <c r="H97" s="2" t="s">
        <v>6</v>
      </c>
      <c r="J97" s="2">
        <v>93</v>
      </c>
      <c r="K97" s="3">
        <v>6.3</v>
      </c>
      <c r="L97" s="3">
        <v>2.5</v>
      </c>
      <c r="M97" s="3">
        <v>4.9000000000000004</v>
      </c>
      <c r="N97" s="3">
        <v>1.5</v>
      </c>
      <c r="O97" s="5">
        <f t="shared" si="15"/>
        <v>1</v>
      </c>
      <c r="P97" s="4"/>
      <c r="Q97" s="3">
        <f t="shared" ca="1" si="16"/>
        <v>0.20000000000000018</v>
      </c>
      <c r="R97" s="3">
        <f t="shared" ca="1" si="17"/>
        <v>0.10000000000000009</v>
      </c>
      <c r="S97" s="3">
        <f t="shared" ca="1" si="18"/>
        <v>0.69999999999999929</v>
      </c>
      <c r="T97" s="3">
        <f t="shared" ca="1" si="19"/>
        <v>0.10000000000000009</v>
      </c>
      <c r="U97" s="3">
        <f t="shared" ca="1" si="20"/>
        <v>1.0488088481701514</v>
      </c>
      <c r="V97" s="2">
        <f t="shared" si="21"/>
        <v>93</v>
      </c>
      <c r="X97" s="17"/>
    </row>
    <row r="98" spans="1:24" x14ac:dyDescent="0.3">
      <c r="A98" s="2">
        <v>94</v>
      </c>
      <c r="B98" s="3" t="str">
        <f t="shared" si="14"/>
        <v>5,62,74,21,3</v>
      </c>
      <c r="C98" s="3">
        <v>5.6</v>
      </c>
      <c r="D98" s="3">
        <v>2.7</v>
      </c>
      <c r="E98" s="3">
        <v>4.2</v>
      </c>
      <c r="F98" s="3">
        <v>1.3</v>
      </c>
      <c r="G98" s="5">
        <v>1</v>
      </c>
      <c r="H98" s="2" t="s">
        <v>6</v>
      </c>
      <c r="J98" s="2">
        <v>94</v>
      </c>
      <c r="K98" s="3">
        <v>5.9</v>
      </c>
      <c r="L98" s="3">
        <v>3</v>
      </c>
      <c r="M98" s="3">
        <v>4.2</v>
      </c>
      <c r="N98" s="3">
        <v>1.5</v>
      </c>
      <c r="O98" s="5">
        <f t="shared" si="15"/>
        <v>1</v>
      </c>
      <c r="P98" s="4"/>
      <c r="Q98" s="3">
        <f t="shared" ca="1" si="16"/>
        <v>0.19999999999999929</v>
      </c>
      <c r="R98" s="3">
        <f t="shared" ca="1" si="17"/>
        <v>0.39999999999999991</v>
      </c>
      <c r="S98" s="3">
        <f t="shared" ca="1" si="18"/>
        <v>1.3999999999999995</v>
      </c>
      <c r="T98" s="3">
        <f t="shared" ca="1" si="19"/>
        <v>0.10000000000000009</v>
      </c>
      <c r="U98" s="3">
        <f t="shared" ca="1" si="20"/>
        <v>1.4491376746189435</v>
      </c>
      <c r="V98" s="2">
        <f t="shared" si="21"/>
        <v>94</v>
      </c>
      <c r="X98" s="17"/>
    </row>
    <row r="99" spans="1:24" x14ac:dyDescent="0.3">
      <c r="A99" s="2">
        <v>95</v>
      </c>
      <c r="B99" s="3" t="str">
        <f t="shared" si="14"/>
        <v>5,734,21,2</v>
      </c>
      <c r="C99" s="3">
        <v>5.7</v>
      </c>
      <c r="D99" s="3">
        <v>3</v>
      </c>
      <c r="E99" s="3">
        <v>4.2</v>
      </c>
      <c r="F99" s="3">
        <v>1.2</v>
      </c>
      <c r="G99" s="5">
        <v>1</v>
      </c>
      <c r="H99" s="2" t="s">
        <v>6</v>
      </c>
      <c r="J99" s="2">
        <v>95</v>
      </c>
      <c r="K99" s="3">
        <v>5.2</v>
      </c>
      <c r="L99" s="3">
        <v>3.5</v>
      </c>
      <c r="M99" s="3">
        <v>1.5</v>
      </c>
      <c r="N99" s="3">
        <v>0.2</v>
      </c>
      <c r="O99" s="5">
        <f t="shared" si="15"/>
        <v>0</v>
      </c>
      <c r="P99" s="4"/>
      <c r="Q99" s="3">
        <f t="shared" ca="1" si="16"/>
        <v>0.89999999999999947</v>
      </c>
      <c r="R99" s="3">
        <f t="shared" ca="1" si="17"/>
        <v>0.89999999999999991</v>
      </c>
      <c r="S99" s="3">
        <f t="shared" ca="1" si="18"/>
        <v>4.0999999999999996</v>
      </c>
      <c r="T99" s="3">
        <f t="shared" ca="1" si="19"/>
        <v>1.2</v>
      </c>
      <c r="U99" s="3">
        <f t="shared" ca="1" si="20"/>
        <v>2.6645825188948455</v>
      </c>
      <c r="V99" s="2">
        <f t="shared" si="21"/>
        <v>95</v>
      </c>
      <c r="X99" s="17"/>
    </row>
    <row r="100" spans="1:24" x14ac:dyDescent="0.3">
      <c r="A100" s="2">
        <v>96</v>
      </c>
      <c r="B100" s="3" t="str">
        <f t="shared" si="14"/>
        <v>5,72,94,21,3</v>
      </c>
      <c r="C100" s="3">
        <v>5.7</v>
      </c>
      <c r="D100" s="3">
        <v>2.9</v>
      </c>
      <c r="E100" s="3">
        <v>4.2</v>
      </c>
      <c r="F100" s="3">
        <v>1.3</v>
      </c>
      <c r="G100" s="5">
        <v>1</v>
      </c>
      <c r="H100" s="2" t="s">
        <v>6</v>
      </c>
      <c r="J100" s="2">
        <v>96</v>
      </c>
      <c r="K100" s="3">
        <v>6.9</v>
      </c>
      <c r="L100" s="3">
        <v>3.1</v>
      </c>
      <c r="M100" s="3">
        <v>5.4</v>
      </c>
      <c r="N100" s="3">
        <v>2.1</v>
      </c>
      <c r="O100" s="5">
        <f t="shared" si="15"/>
        <v>2</v>
      </c>
      <c r="P100" s="4"/>
      <c r="Q100" s="3">
        <f t="shared" ca="1" si="16"/>
        <v>0.80000000000000071</v>
      </c>
      <c r="R100" s="3">
        <f t="shared" ca="1" si="17"/>
        <v>0.5</v>
      </c>
      <c r="S100" s="3">
        <f t="shared" ca="1" si="18"/>
        <v>0.19999999999999929</v>
      </c>
      <c r="T100" s="3">
        <f t="shared" ca="1" si="19"/>
        <v>0.70000000000000018</v>
      </c>
      <c r="U100" s="3">
        <f t="shared" ca="1" si="20"/>
        <v>1.4832396974191326</v>
      </c>
      <c r="V100" s="2">
        <f t="shared" si="21"/>
        <v>96</v>
      </c>
      <c r="X100" s="17"/>
    </row>
    <row r="101" spans="1:24" x14ac:dyDescent="0.3">
      <c r="A101" s="2">
        <v>97</v>
      </c>
      <c r="B101" s="3" t="str">
        <f t="shared" si="14"/>
        <v>6,22,94,31,3</v>
      </c>
      <c r="C101" s="3">
        <v>6.2</v>
      </c>
      <c r="D101" s="3">
        <v>2.9</v>
      </c>
      <c r="E101" s="3">
        <v>4.3</v>
      </c>
      <c r="F101" s="3">
        <v>1.3</v>
      </c>
      <c r="G101" s="5">
        <v>1</v>
      </c>
      <c r="H101" s="2" t="s">
        <v>6</v>
      </c>
      <c r="J101" s="2">
        <v>97</v>
      </c>
      <c r="K101" s="3">
        <v>5.8</v>
      </c>
      <c r="L101" s="3">
        <v>2.6</v>
      </c>
      <c r="M101" s="3">
        <v>4</v>
      </c>
      <c r="N101" s="3">
        <v>1.2</v>
      </c>
      <c r="O101" s="5">
        <f t="shared" si="15"/>
        <v>1</v>
      </c>
      <c r="P101" s="4"/>
      <c r="Q101" s="3">
        <f t="shared" ca="1" si="16"/>
        <v>0.29999999999999982</v>
      </c>
      <c r="R101" s="3">
        <f t="shared" ca="1" si="17"/>
        <v>0</v>
      </c>
      <c r="S101" s="3">
        <f t="shared" ca="1" si="18"/>
        <v>1.5999999999999996</v>
      </c>
      <c r="T101" s="3">
        <f t="shared" ca="1" si="19"/>
        <v>0.19999999999999996</v>
      </c>
      <c r="U101" s="3">
        <f t="shared" ca="1" si="20"/>
        <v>1.4491376746189437</v>
      </c>
      <c r="V101" s="2">
        <f t="shared" si="21"/>
        <v>97</v>
      </c>
      <c r="X101" s="17"/>
    </row>
    <row r="102" spans="1:24" x14ac:dyDescent="0.3">
      <c r="A102" s="2">
        <v>98</v>
      </c>
      <c r="B102" s="3" t="str">
        <f t="shared" si="14"/>
        <v>5,12,531,1</v>
      </c>
      <c r="C102" s="3">
        <v>5.0999999999999996</v>
      </c>
      <c r="D102" s="3">
        <v>2.5</v>
      </c>
      <c r="E102" s="3">
        <v>3</v>
      </c>
      <c r="F102" s="3">
        <v>1.1000000000000001</v>
      </c>
      <c r="G102" s="5">
        <v>1</v>
      </c>
      <c r="H102" s="2" t="s">
        <v>6</v>
      </c>
      <c r="J102" s="2">
        <v>98</v>
      </c>
      <c r="K102" s="3">
        <v>5.8</v>
      </c>
      <c r="L102" s="3">
        <v>2.7</v>
      </c>
      <c r="M102" s="3">
        <v>5.0999999999999996</v>
      </c>
      <c r="N102" s="3">
        <v>1.9</v>
      </c>
      <c r="O102" s="5">
        <f t="shared" si="15"/>
        <v>2</v>
      </c>
      <c r="P102" s="4"/>
      <c r="Q102" s="3">
        <f t="shared" ca="1" si="16"/>
        <v>0.29999999999999982</v>
      </c>
      <c r="R102" s="3">
        <f t="shared" ca="1" si="17"/>
        <v>0.10000000000000009</v>
      </c>
      <c r="S102" s="3">
        <f t="shared" ca="1" si="18"/>
        <v>0.5</v>
      </c>
      <c r="T102" s="3">
        <f t="shared" ca="1" si="19"/>
        <v>0.5</v>
      </c>
      <c r="U102" s="3">
        <f t="shared" ca="1" si="20"/>
        <v>1.1832159566199232</v>
      </c>
      <c r="V102" s="2">
        <f t="shared" si="21"/>
        <v>98</v>
      </c>
      <c r="X102" s="17"/>
    </row>
    <row r="103" spans="1:24" x14ac:dyDescent="0.3">
      <c r="A103" s="2">
        <v>99</v>
      </c>
      <c r="B103" s="3" t="str">
        <f t="shared" si="14"/>
        <v>5,72,84,11,3</v>
      </c>
      <c r="C103" s="3">
        <v>5.7</v>
      </c>
      <c r="D103" s="3">
        <v>2.8</v>
      </c>
      <c r="E103" s="3">
        <v>4.0999999999999996</v>
      </c>
      <c r="F103" s="3">
        <v>1.3</v>
      </c>
      <c r="G103" s="5">
        <v>1</v>
      </c>
      <c r="H103" s="2" t="s">
        <v>6</v>
      </c>
      <c r="J103" s="2">
        <v>99</v>
      </c>
      <c r="K103" s="3">
        <v>4.8</v>
      </c>
      <c r="L103" s="3">
        <v>3.4</v>
      </c>
      <c r="M103" s="3">
        <v>1.6</v>
      </c>
      <c r="N103" s="3">
        <v>0.2</v>
      </c>
      <c r="O103" s="5">
        <f t="shared" si="15"/>
        <v>0</v>
      </c>
      <c r="P103" s="4"/>
      <c r="Q103" s="3">
        <f t="shared" ca="1" si="16"/>
        <v>1.2999999999999998</v>
      </c>
      <c r="R103" s="3">
        <f t="shared" ca="1" si="17"/>
        <v>0.79999999999999982</v>
      </c>
      <c r="S103" s="3">
        <f t="shared" ca="1" si="18"/>
        <v>3.9999999999999996</v>
      </c>
      <c r="T103" s="3">
        <f t="shared" ca="1" si="19"/>
        <v>1.2</v>
      </c>
      <c r="U103" s="3">
        <f t="shared" ca="1" si="20"/>
        <v>2.7018512172212592</v>
      </c>
      <c r="V103" s="2">
        <f t="shared" si="21"/>
        <v>99</v>
      </c>
      <c r="X103" s="17"/>
    </row>
    <row r="104" spans="1:24" x14ac:dyDescent="0.3">
      <c r="A104" s="2">
        <v>100</v>
      </c>
      <c r="B104" s="3" t="str">
        <f t="shared" si="14"/>
        <v>6,33,362,5</v>
      </c>
      <c r="C104" s="3">
        <v>6.3</v>
      </c>
      <c r="D104" s="3">
        <v>3.3</v>
      </c>
      <c r="E104" s="3">
        <v>6</v>
      </c>
      <c r="F104" s="3">
        <v>2.5</v>
      </c>
      <c r="G104" s="5">
        <v>2</v>
      </c>
      <c r="H104" s="2" t="s">
        <v>7</v>
      </c>
      <c r="J104" s="2">
        <v>100</v>
      </c>
      <c r="K104" s="3">
        <v>4.9000000000000004</v>
      </c>
      <c r="L104" s="3">
        <v>3.6</v>
      </c>
      <c r="M104" s="3">
        <v>1.4</v>
      </c>
      <c r="N104" s="3">
        <v>0.1</v>
      </c>
      <c r="O104" s="5">
        <f t="shared" si="15"/>
        <v>0</v>
      </c>
      <c r="P104" s="4"/>
      <c r="Q104" s="3">
        <f t="shared" ca="1" si="16"/>
        <v>1.1999999999999993</v>
      </c>
      <c r="R104" s="3">
        <f t="shared" ca="1" si="17"/>
        <v>1</v>
      </c>
      <c r="S104" s="3">
        <f t="shared" ca="1" si="18"/>
        <v>4.1999999999999993</v>
      </c>
      <c r="T104" s="3">
        <f t="shared" ca="1" si="19"/>
        <v>1.2999999999999998</v>
      </c>
      <c r="U104" s="3">
        <f t="shared" ca="1" si="20"/>
        <v>2.7748873851023212</v>
      </c>
      <c r="V104" s="2">
        <f t="shared" si="21"/>
        <v>100</v>
      </c>
      <c r="X104" s="17"/>
    </row>
    <row r="105" spans="1:24" x14ac:dyDescent="0.3">
      <c r="A105" s="2">
        <v>101</v>
      </c>
      <c r="B105" s="3" t="str">
        <f t="shared" si="14"/>
        <v>5,82,75,11,9</v>
      </c>
      <c r="C105" s="3">
        <v>5.8</v>
      </c>
      <c r="D105" s="3">
        <v>2.7</v>
      </c>
      <c r="E105" s="3">
        <v>5.0999999999999996</v>
      </c>
      <c r="F105" s="3">
        <v>1.9</v>
      </c>
      <c r="G105" s="5">
        <v>2</v>
      </c>
      <c r="H105" s="2" t="s">
        <v>7</v>
      </c>
      <c r="J105" s="2">
        <v>101</v>
      </c>
      <c r="K105" s="3">
        <v>5.7</v>
      </c>
      <c r="L105" s="3">
        <v>2.6</v>
      </c>
      <c r="M105" s="3">
        <v>3.5</v>
      </c>
      <c r="N105" s="3">
        <v>1</v>
      </c>
      <c r="O105" s="5">
        <f t="shared" si="15"/>
        <v>1</v>
      </c>
      <c r="P105" s="4"/>
      <c r="Q105" s="3">
        <f t="shared" ca="1" si="16"/>
        <v>0.39999999999999947</v>
      </c>
      <c r="R105" s="3">
        <f t="shared" ca="1" si="17"/>
        <v>0</v>
      </c>
      <c r="S105" s="3">
        <f t="shared" ca="1" si="18"/>
        <v>2.0999999999999996</v>
      </c>
      <c r="T105" s="3">
        <f t="shared" ca="1" si="19"/>
        <v>0.39999999999999991</v>
      </c>
      <c r="U105" s="3">
        <f t="shared" ca="1" si="20"/>
        <v>1.7029386365926398</v>
      </c>
      <c r="V105" s="2">
        <f t="shared" si="21"/>
        <v>101</v>
      </c>
      <c r="X105" s="17"/>
    </row>
    <row r="106" spans="1:24" x14ac:dyDescent="0.3">
      <c r="A106" s="2">
        <v>102</v>
      </c>
      <c r="B106" s="3" t="str">
        <f t="shared" si="14"/>
        <v>7,135,92,1</v>
      </c>
      <c r="C106" s="3">
        <v>7.1</v>
      </c>
      <c r="D106" s="3">
        <v>3</v>
      </c>
      <c r="E106" s="3">
        <v>5.9</v>
      </c>
      <c r="F106" s="3">
        <v>2.1</v>
      </c>
      <c r="G106" s="5">
        <v>2</v>
      </c>
      <c r="H106" s="2" t="s">
        <v>7</v>
      </c>
      <c r="J106" s="2">
        <v>102</v>
      </c>
      <c r="K106" s="3">
        <v>5.5</v>
      </c>
      <c r="L106" s="3">
        <v>4.2</v>
      </c>
      <c r="M106" s="3">
        <v>1.4</v>
      </c>
      <c r="N106" s="3">
        <v>0.2</v>
      </c>
      <c r="O106" s="5">
        <f t="shared" si="15"/>
        <v>0</v>
      </c>
      <c r="P106" s="4"/>
      <c r="Q106" s="3">
        <f t="shared" ca="1" si="16"/>
        <v>0.59999999999999964</v>
      </c>
      <c r="R106" s="3">
        <f t="shared" ca="1" si="17"/>
        <v>1.6</v>
      </c>
      <c r="S106" s="3">
        <f t="shared" ca="1" si="18"/>
        <v>4.1999999999999993</v>
      </c>
      <c r="T106" s="3">
        <f t="shared" ca="1" si="19"/>
        <v>1.2</v>
      </c>
      <c r="U106" s="3">
        <f t="shared" ca="1" si="20"/>
        <v>2.7568097504180442</v>
      </c>
      <c r="V106" s="2">
        <f t="shared" si="21"/>
        <v>102</v>
      </c>
      <c r="X106" s="17"/>
    </row>
    <row r="107" spans="1:24" x14ac:dyDescent="0.3">
      <c r="A107" s="2">
        <v>103</v>
      </c>
      <c r="B107" s="3" t="str">
        <f t="shared" si="14"/>
        <v>6,32,95,61,8</v>
      </c>
      <c r="C107" s="3">
        <v>6.3</v>
      </c>
      <c r="D107" s="3">
        <v>2.9</v>
      </c>
      <c r="E107" s="3">
        <v>5.6</v>
      </c>
      <c r="F107" s="3">
        <v>1.8</v>
      </c>
      <c r="G107" s="5">
        <v>2</v>
      </c>
      <c r="H107" s="2" t="s">
        <v>7</v>
      </c>
      <c r="J107" s="2">
        <v>103</v>
      </c>
      <c r="K107" s="3">
        <v>5.6</v>
      </c>
      <c r="L107" s="3">
        <v>2.7</v>
      </c>
      <c r="M107" s="3">
        <v>4.2</v>
      </c>
      <c r="N107" s="3">
        <v>1.3</v>
      </c>
      <c r="O107" s="5">
        <f t="shared" si="15"/>
        <v>1</v>
      </c>
      <c r="P107" s="4"/>
      <c r="Q107" s="3">
        <f t="shared" ca="1" si="16"/>
        <v>0.5</v>
      </c>
      <c r="R107" s="3">
        <f t="shared" ca="1" si="17"/>
        <v>0.10000000000000009</v>
      </c>
      <c r="S107" s="3">
        <f t="shared" ca="1" si="18"/>
        <v>1.3999999999999995</v>
      </c>
      <c r="T107" s="3">
        <f t="shared" ca="1" si="19"/>
        <v>9.9999999999999867E-2</v>
      </c>
      <c r="U107" s="3">
        <f t="shared" ca="1" si="20"/>
        <v>1.4491376746189437</v>
      </c>
      <c r="V107" s="2">
        <f t="shared" si="21"/>
        <v>103</v>
      </c>
      <c r="X107" s="17"/>
    </row>
    <row r="108" spans="1:24" x14ac:dyDescent="0.3">
      <c r="A108" s="2">
        <v>104</v>
      </c>
      <c r="B108" s="3" t="str">
        <f t="shared" si="14"/>
        <v>6,535,82,2</v>
      </c>
      <c r="C108" s="3">
        <v>6.5</v>
      </c>
      <c r="D108" s="3">
        <v>3</v>
      </c>
      <c r="E108" s="3">
        <v>5.8</v>
      </c>
      <c r="F108" s="3">
        <v>2.2000000000000002</v>
      </c>
      <c r="G108" s="5">
        <v>2</v>
      </c>
      <c r="H108" s="2" t="s">
        <v>7</v>
      </c>
      <c r="J108" s="2">
        <v>104</v>
      </c>
      <c r="K108" s="3">
        <v>4.5999999999999996</v>
      </c>
      <c r="L108" s="3">
        <v>3.1</v>
      </c>
      <c r="M108" s="3">
        <v>1.5</v>
      </c>
      <c r="N108" s="3">
        <v>0.2</v>
      </c>
      <c r="O108" s="5">
        <f t="shared" si="15"/>
        <v>0</v>
      </c>
      <c r="P108" s="4"/>
      <c r="Q108" s="3">
        <f t="shared" ca="1" si="16"/>
        <v>1.5</v>
      </c>
      <c r="R108" s="3">
        <f t="shared" ca="1" si="17"/>
        <v>0.5</v>
      </c>
      <c r="S108" s="3">
        <f t="shared" ca="1" si="18"/>
        <v>4.0999999999999996</v>
      </c>
      <c r="T108" s="3">
        <f t="shared" ca="1" si="19"/>
        <v>1.2</v>
      </c>
      <c r="U108" s="3">
        <f t="shared" ca="1" si="20"/>
        <v>2.7018512172212592</v>
      </c>
      <c r="V108" s="2">
        <f t="shared" si="21"/>
        <v>104</v>
      </c>
      <c r="X108" s="17"/>
    </row>
    <row r="109" spans="1:24" x14ac:dyDescent="0.3">
      <c r="A109" s="2">
        <v>105</v>
      </c>
      <c r="B109" s="3" t="str">
        <f t="shared" si="14"/>
        <v>7,636,62,1</v>
      </c>
      <c r="C109" s="3">
        <v>7.6</v>
      </c>
      <c r="D109" s="3">
        <v>3</v>
      </c>
      <c r="E109" s="3">
        <v>6.6</v>
      </c>
      <c r="F109" s="3">
        <v>2.1</v>
      </c>
      <c r="G109" s="5">
        <v>2</v>
      </c>
      <c r="H109" s="2" t="s">
        <v>7</v>
      </c>
    </row>
    <row r="110" spans="1:24" x14ac:dyDescent="0.3">
      <c r="A110" s="2">
        <v>106</v>
      </c>
      <c r="B110" s="3" t="str">
        <f t="shared" si="14"/>
        <v>4,92,54,51,7</v>
      </c>
      <c r="C110" s="3">
        <v>4.9000000000000004</v>
      </c>
      <c r="D110" s="3">
        <v>2.5</v>
      </c>
      <c r="E110" s="3">
        <v>4.5</v>
      </c>
      <c r="F110" s="3">
        <v>1.7</v>
      </c>
      <c r="G110" s="5">
        <v>2</v>
      </c>
      <c r="H110" s="2" t="s">
        <v>7</v>
      </c>
    </row>
    <row r="111" spans="1:24" x14ac:dyDescent="0.3">
      <c r="A111" s="2">
        <v>107</v>
      </c>
      <c r="B111" s="3" t="str">
        <f t="shared" si="14"/>
        <v>7,32,96,31,8</v>
      </c>
      <c r="C111" s="3">
        <v>7.3</v>
      </c>
      <c r="D111" s="3">
        <v>2.9</v>
      </c>
      <c r="E111" s="3">
        <v>6.3</v>
      </c>
      <c r="F111" s="3">
        <v>1.8</v>
      </c>
      <c r="G111" s="5">
        <v>2</v>
      </c>
      <c r="H111" s="2" t="s">
        <v>7</v>
      </c>
    </row>
    <row r="112" spans="1:24" x14ac:dyDescent="0.3">
      <c r="A112" s="2">
        <v>108</v>
      </c>
      <c r="B112" s="3" t="str">
        <f t="shared" si="14"/>
        <v>6,72,55,81,8</v>
      </c>
      <c r="C112" s="3">
        <v>6.7</v>
      </c>
      <c r="D112" s="3">
        <v>2.5</v>
      </c>
      <c r="E112" s="3">
        <v>5.8</v>
      </c>
      <c r="F112" s="3">
        <v>1.8</v>
      </c>
      <c r="G112" s="5">
        <v>2</v>
      </c>
      <c r="H112" s="2" t="s">
        <v>7</v>
      </c>
    </row>
    <row r="113" spans="1:8" x14ac:dyDescent="0.3">
      <c r="A113" s="2">
        <v>109</v>
      </c>
      <c r="B113" s="3" t="str">
        <f t="shared" si="14"/>
        <v>7,23,66,12,5</v>
      </c>
      <c r="C113" s="3">
        <v>7.2</v>
      </c>
      <c r="D113" s="3">
        <v>3.6</v>
      </c>
      <c r="E113" s="3">
        <v>6.1</v>
      </c>
      <c r="F113" s="3">
        <v>2.5</v>
      </c>
      <c r="G113" s="5">
        <v>2</v>
      </c>
      <c r="H113" s="2" t="s">
        <v>7</v>
      </c>
    </row>
    <row r="114" spans="1:8" x14ac:dyDescent="0.3">
      <c r="A114" s="2">
        <v>110</v>
      </c>
      <c r="B114" s="3" t="str">
        <f t="shared" si="14"/>
        <v>6,53,25,12</v>
      </c>
      <c r="C114" s="3">
        <v>6.5</v>
      </c>
      <c r="D114" s="3">
        <v>3.2</v>
      </c>
      <c r="E114" s="3">
        <v>5.0999999999999996</v>
      </c>
      <c r="F114" s="3">
        <v>2</v>
      </c>
      <c r="G114" s="5">
        <v>2</v>
      </c>
      <c r="H114" s="2" t="s">
        <v>7</v>
      </c>
    </row>
    <row r="115" spans="1:8" x14ac:dyDescent="0.3">
      <c r="A115" s="2">
        <v>111</v>
      </c>
      <c r="B115" s="3" t="str">
        <f t="shared" si="14"/>
        <v>6,42,75,31,9</v>
      </c>
      <c r="C115" s="3">
        <v>6.4</v>
      </c>
      <c r="D115" s="3">
        <v>2.7</v>
      </c>
      <c r="E115" s="3">
        <v>5.3</v>
      </c>
      <c r="F115" s="3">
        <v>1.9</v>
      </c>
      <c r="G115" s="5">
        <v>2</v>
      </c>
      <c r="H115" s="2" t="s">
        <v>7</v>
      </c>
    </row>
    <row r="116" spans="1:8" x14ac:dyDescent="0.3">
      <c r="A116" s="2">
        <v>112</v>
      </c>
      <c r="B116" s="3" t="str">
        <f t="shared" si="14"/>
        <v>6,835,52,1</v>
      </c>
      <c r="C116" s="3">
        <v>6.8</v>
      </c>
      <c r="D116" s="3">
        <v>3</v>
      </c>
      <c r="E116" s="3">
        <v>5.5</v>
      </c>
      <c r="F116" s="3">
        <v>2.1</v>
      </c>
      <c r="G116" s="5">
        <v>2</v>
      </c>
      <c r="H116" s="2" t="s">
        <v>7</v>
      </c>
    </row>
    <row r="117" spans="1:8" x14ac:dyDescent="0.3">
      <c r="A117" s="2">
        <v>113</v>
      </c>
      <c r="B117" s="3" t="str">
        <f t="shared" si="14"/>
        <v>5,72,552</v>
      </c>
      <c r="C117" s="3">
        <v>5.7</v>
      </c>
      <c r="D117" s="3">
        <v>2.5</v>
      </c>
      <c r="E117" s="3">
        <v>5</v>
      </c>
      <c r="F117" s="3">
        <v>2</v>
      </c>
      <c r="G117" s="5">
        <v>2</v>
      </c>
      <c r="H117" s="2" t="s">
        <v>7</v>
      </c>
    </row>
    <row r="118" spans="1:8" x14ac:dyDescent="0.3">
      <c r="A118" s="2">
        <v>114</v>
      </c>
      <c r="B118" s="3" t="str">
        <f t="shared" si="14"/>
        <v>5,82,85,12,4</v>
      </c>
      <c r="C118" s="3">
        <v>5.8</v>
      </c>
      <c r="D118" s="3">
        <v>2.8</v>
      </c>
      <c r="E118" s="3">
        <v>5.0999999999999996</v>
      </c>
      <c r="F118" s="3">
        <v>2.4</v>
      </c>
      <c r="G118" s="5">
        <v>2</v>
      </c>
      <c r="H118" s="2" t="s">
        <v>7</v>
      </c>
    </row>
    <row r="119" spans="1:8" x14ac:dyDescent="0.3">
      <c r="A119" s="2">
        <v>115</v>
      </c>
      <c r="B119" s="3" t="str">
        <f t="shared" si="14"/>
        <v>6,43,25,32,3</v>
      </c>
      <c r="C119" s="3">
        <v>6.4</v>
      </c>
      <c r="D119" s="3">
        <v>3.2</v>
      </c>
      <c r="E119" s="3">
        <v>5.3</v>
      </c>
      <c r="F119" s="3">
        <v>2.2999999999999998</v>
      </c>
      <c r="G119" s="5">
        <v>2</v>
      </c>
      <c r="H119" s="2" t="s">
        <v>7</v>
      </c>
    </row>
    <row r="120" spans="1:8" x14ac:dyDescent="0.3">
      <c r="A120" s="2">
        <v>116</v>
      </c>
      <c r="B120" s="3" t="str">
        <f t="shared" si="14"/>
        <v>6,535,51,8</v>
      </c>
      <c r="C120" s="3">
        <v>6.5</v>
      </c>
      <c r="D120" s="3">
        <v>3</v>
      </c>
      <c r="E120" s="3">
        <v>5.5</v>
      </c>
      <c r="F120" s="3">
        <v>1.8</v>
      </c>
      <c r="G120" s="5">
        <v>2</v>
      </c>
      <c r="H120" s="2" t="s">
        <v>7</v>
      </c>
    </row>
    <row r="121" spans="1:8" x14ac:dyDescent="0.3">
      <c r="A121" s="2">
        <v>117</v>
      </c>
      <c r="B121" s="3" t="str">
        <f t="shared" si="14"/>
        <v>7,73,86,72,2</v>
      </c>
      <c r="C121" s="3">
        <v>7.7</v>
      </c>
      <c r="D121" s="3">
        <v>3.8</v>
      </c>
      <c r="E121" s="3">
        <v>6.7</v>
      </c>
      <c r="F121" s="3">
        <v>2.2000000000000002</v>
      </c>
      <c r="G121" s="5">
        <v>2</v>
      </c>
      <c r="H121" s="2" t="s">
        <v>7</v>
      </c>
    </row>
    <row r="122" spans="1:8" x14ac:dyDescent="0.3">
      <c r="A122" s="2">
        <v>118</v>
      </c>
      <c r="B122" s="3" t="str">
        <f t="shared" si="14"/>
        <v>7,72,66,92,3</v>
      </c>
      <c r="C122" s="3">
        <v>7.7</v>
      </c>
      <c r="D122" s="3">
        <v>2.6</v>
      </c>
      <c r="E122" s="3">
        <v>6.9</v>
      </c>
      <c r="F122" s="3">
        <v>2.2999999999999998</v>
      </c>
      <c r="G122" s="5">
        <v>2</v>
      </c>
      <c r="H122" s="2" t="s">
        <v>7</v>
      </c>
    </row>
    <row r="123" spans="1:8" x14ac:dyDescent="0.3">
      <c r="A123" s="2">
        <v>119</v>
      </c>
      <c r="B123" s="3" t="str">
        <f t="shared" si="14"/>
        <v>62,251,5</v>
      </c>
      <c r="C123" s="3">
        <v>6</v>
      </c>
      <c r="D123" s="3">
        <v>2.2000000000000002</v>
      </c>
      <c r="E123" s="3">
        <v>5</v>
      </c>
      <c r="F123" s="3">
        <v>1.5</v>
      </c>
      <c r="G123" s="5">
        <v>2</v>
      </c>
      <c r="H123" s="2" t="s">
        <v>7</v>
      </c>
    </row>
    <row r="124" spans="1:8" x14ac:dyDescent="0.3">
      <c r="A124" s="2">
        <v>120</v>
      </c>
      <c r="B124" s="3" t="str">
        <f t="shared" si="14"/>
        <v>6,93,25,72,3</v>
      </c>
      <c r="C124" s="3">
        <v>6.9</v>
      </c>
      <c r="D124" s="3">
        <v>3.2</v>
      </c>
      <c r="E124" s="3">
        <v>5.7</v>
      </c>
      <c r="F124" s="3">
        <v>2.2999999999999998</v>
      </c>
      <c r="G124" s="5">
        <v>2</v>
      </c>
      <c r="H124" s="2" t="s">
        <v>7</v>
      </c>
    </row>
    <row r="125" spans="1:8" x14ac:dyDescent="0.3">
      <c r="A125" s="2">
        <v>121</v>
      </c>
      <c r="B125" s="3" t="str">
        <f t="shared" si="14"/>
        <v>5,62,84,92</v>
      </c>
      <c r="C125" s="3">
        <v>5.6</v>
      </c>
      <c r="D125" s="3">
        <v>2.8</v>
      </c>
      <c r="E125" s="3">
        <v>4.9000000000000004</v>
      </c>
      <c r="F125" s="3">
        <v>2</v>
      </c>
      <c r="G125" s="5">
        <v>2</v>
      </c>
      <c r="H125" s="2" t="s">
        <v>7</v>
      </c>
    </row>
    <row r="126" spans="1:8" x14ac:dyDescent="0.3">
      <c r="A126" s="2">
        <v>122</v>
      </c>
      <c r="B126" s="3" t="str">
        <f t="shared" si="14"/>
        <v>7,72,86,72</v>
      </c>
      <c r="C126" s="3">
        <v>7.7</v>
      </c>
      <c r="D126" s="3">
        <v>2.8</v>
      </c>
      <c r="E126" s="3">
        <v>6.7</v>
      </c>
      <c r="F126" s="3">
        <v>2</v>
      </c>
      <c r="G126" s="5">
        <v>2</v>
      </c>
      <c r="H126" s="2" t="s">
        <v>7</v>
      </c>
    </row>
    <row r="127" spans="1:8" x14ac:dyDescent="0.3">
      <c r="A127" s="2">
        <v>123</v>
      </c>
      <c r="B127" s="3" t="str">
        <f t="shared" si="14"/>
        <v>6,32,74,91,8</v>
      </c>
      <c r="C127" s="3">
        <v>6.3</v>
      </c>
      <c r="D127" s="3">
        <v>2.7</v>
      </c>
      <c r="E127" s="3">
        <v>4.9000000000000004</v>
      </c>
      <c r="F127" s="3">
        <v>1.8</v>
      </c>
      <c r="G127" s="5">
        <v>2</v>
      </c>
      <c r="H127" s="2" t="s">
        <v>7</v>
      </c>
    </row>
    <row r="128" spans="1:8" x14ac:dyDescent="0.3">
      <c r="A128" s="2">
        <v>124</v>
      </c>
      <c r="B128" s="3" t="str">
        <f t="shared" si="14"/>
        <v>6,73,35,72,1</v>
      </c>
      <c r="C128" s="3">
        <v>6.7</v>
      </c>
      <c r="D128" s="3">
        <v>3.3</v>
      </c>
      <c r="E128" s="3">
        <v>5.7</v>
      </c>
      <c r="F128" s="3">
        <v>2.1</v>
      </c>
      <c r="G128" s="5">
        <v>2</v>
      </c>
      <c r="H128" s="2" t="s">
        <v>7</v>
      </c>
    </row>
    <row r="129" spans="1:8" x14ac:dyDescent="0.3">
      <c r="A129" s="2">
        <v>125</v>
      </c>
      <c r="B129" s="3" t="str">
        <f t="shared" si="14"/>
        <v>7,23,261,8</v>
      </c>
      <c r="C129" s="3">
        <v>7.2</v>
      </c>
      <c r="D129" s="3">
        <v>3.2</v>
      </c>
      <c r="E129" s="3">
        <v>6</v>
      </c>
      <c r="F129" s="3">
        <v>1.8</v>
      </c>
      <c r="G129" s="5">
        <v>2</v>
      </c>
      <c r="H129" s="2" t="s">
        <v>7</v>
      </c>
    </row>
    <row r="130" spans="1:8" x14ac:dyDescent="0.3">
      <c r="A130" s="2">
        <v>126</v>
      </c>
      <c r="B130" s="3" t="str">
        <f t="shared" si="14"/>
        <v>6,22,84,81,8</v>
      </c>
      <c r="C130" s="3">
        <v>6.2</v>
      </c>
      <c r="D130" s="3">
        <v>2.8</v>
      </c>
      <c r="E130" s="3">
        <v>4.8</v>
      </c>
      <c r="F130" s="3">
        <v>1.8</v>
      </c>
      <c r="G130" s="5">
        <v>2</v>
      </c>
      <c r="H130" s="2" t="s">
        <v>7</v>
      </c>
    </row>
    <row r="131" spans="1:8" x14ac:dyDescent="0.3">
      <c r="A131" s="2">
        <v>127</v>
      </c>
      <c r="B131" s="3" t="str">
        <f t="shared" si="14"/>
        <v>6,134,91,8</v>
      </c>
      <c r="C131" s="3">
        <v>6.1</v>
      </c>
      <c r="D131" s="3">
        <v>3</v>
      </c>
      <c r="E131" s="3">
        <v>4.9000000000000004</v>
      </c>
      <c r="F131" s="3">
        <v>1.8</v>
      </c>
      <c r="G131" s="5">
        <v>2</v>
      </c>
      <c r="H131" s="2" t="s">
        <v>7</v>
      </c>
    </row>
    <row r="132" spans="1:8" x14ac:dyDescent="0.3">
      <c r="A132" s="2">
        <v>128</v>
      </c>
      <c r="B132" s="3" t="str">
        <f t="shared" si="14"/>
        <v>6,42,85,62,1</v>
      </c>
      <c r="C132" s="3">
        <v>6.4</v>
      </c>
      <c r="D132" s="3">
        <v>2.8</v>
      </c>
      <c r="E132" s="3">
        <v>5.6</v>
      </c>
      <c r="F132" s="3">
        <v>2.1</v>
      </c>
      <c r="G132" s="5">
        <v>2</v>
      </c>
      <c r="H132" s="2" t="s">
        <v>7</v>
      </c>
    </row>
    <row r="133" spans="1:8" x14ac:dyDescent="0.3">
      <c r="A133" s="2">
        <v>129</v>
      </c>
      <c r="B133" s="3" t="str">
        <f t="shared" ref="B133:B153" si="22">C133&amp;D133&amp;E133&amp;F133</f>
        <v>7,235,81,6</v>
      </c>
      <c r="C133" s="3">
        <v>7.2</v>
      </c>
      <c r="D133" s="3">
        <v>3</v>
      </c>
      <c r="E133" s="3">
        <v>5.8</v>
      </c>
      <c r="F133" s="3">
        <v>1.6</v>
      </c>
      <c r="G133" s="5">
        <v>2</v>
      </c>
      <c r="H133" s="2" t="s">
        <v>7</v>
      </c>
    </row>
    <row r="134" spans="1:8" x14ac:dyDescent="0.3">
      <c r="A134" s="2">
        <v>130</v>
      </c>
      <c r="B134" s="3" t="str">
        <f t="shared" si="22"/>
        <v>7,42,86,11,9</v>
      </c>
      <c r="C134" s="3">
        <v>7.4</v>
      </c>
      <c r="D134" s="3">
        <v>2.8</v>
      </c>
      <c r="E134" s="3">
        <v>6.1</v>
      </c>
      <c r="F134" s="3">
        <v>1.9</v>
      </c>
      <c r="G134" s="5">
        <v>2</v>
      </c>
      <c r="H134" s="2" t="s">
        <v>7</v>
      </c>
    </row>
    <row r="135" spans="1:8" x14ac:dyDescent="0.3">
      <c r="A135" s="2">
        <v>131</v>
      </c>
      <c r="B135" s="3" t="str">
        <f t="shared" si="22"/>
        <v>7,93,86,42</v>
      </c>
      <c r="C135" s="3">
        <v>7.9</v>
      </c>
      <c r="D135" s="3">
        <v>3.8</v>
      </c>
      <c r="E135" s="3">
        <v>6.4</v>
      </c>
      <c r="F135" s="3">
        <v>2</v>
      </c>
      <c r="G135" s="5">
        <v>2</v>
      </c>
      <c r="H135" s="2" t="s">
        <v>7</v>
      </c>
    </row>
    <row r="136" spans="1:8" x14ac:dyDescent="0.3">
      <c r="A136" s="2">
        <v>132</v>
      </c>
      <c r="B136" s="3" t="str">
        <f t="shared" si="22"/>
        <v>6,42,85,62,2</v>
      </c>
      <c r="C136" s="3">
        <v>6.4</v>
      </c>
      <c r="D136" s="3">
        <v>2.8</v>
      </c>
      <c r="E136" s="3">
        <v>5.6</v>
      </c>
      <c r="F136" s="3">
        <v>2.2000000000000002</v>
      </c>
      <c r="G136" s="5">
        <v>2</v>
      </c>
      <c r="H136" s="2" t="s">
        <v>7</v>
      </c>
    </row>
    <row r="137" spans="1:8" x14ac:dyDescent="0.3">
      <c r="A137" s="2">
        <v>133</v>
      </c>
      <c r="B137" s="3" t="str">
        <f t="shared" si="22"/>
        <v>6,32,85,11,5</v>
      </c>
      <c r="C137" s="3">
        <v>6.3</v>
      </c>
      <c r="D137" s="3">
        <v>2.8</v>
      </c>
      <c r="E137" s="3">
        <v>5.0999999999999996</v>
      </c>
      <c r="F137" s="3">
        <v>1.5</v>
      </c>
      <c r="G137" s="5">
        <v>2</v>
      </c>
      <c r="H137" s="2" t="s">
        <v>7</v>
      </c>
    </row>
    <row r="138" spans="1:8" x14ac:dyDescent="0.3">
      <c r="A138" s="2">
        <v>134</v>
      </c>
      <c r="B138" s="3" t="str">
        <f t="shared" si="22"/>
        <v>6,12,65,61,4</v>
      </c>
      <c r="C138" s="3">
        <v>6.1</v>
      </c>
      <c r="D138" s="3">
        <v>2.6</v>
      </c>
      <c r="E138" s="3">
        <v>5.6</v>
      </c>
      <c r="F138" s="3">
        <v>1.4</v>
      </c>
      <c r="G138" s="5">
        <v>2</v>
      </c>
      <c r="H138" s="2" t="s">
        <v>7</v>
      </c>
    </row>
    <row r="139" spans="1:8" x14ac:dyDescent="0.3">
      <c r="A139" s="2">
        <v>135</v>
      </c>
      <c r="B139" s="3" t="str">
        <f t="shared" si="22"/>
        <v>7,736,12,3</v>
      </c>
      <c r="C139" s="3">
        <v>7.7</v>
      </c>
      <c r="D139" s="3">
        <v>3</v>
      </c>
      <c r="E139" s="3">
        <v>6.1</v>
      </c>
      <c r="F139" s="3">
        <v>2.2999999999999998</v>
      </c>
      <c r="G139" s="5">
        <v>2</v>
      </c>
      <c r="H139" s="2" t="s">
        <v>7</v>
      </c>
    </row>
    <row r="140" spans="1:8" x14ac:dyDescent="0.3">
      <c r="A140" s="2">
        <v>136</v>
      </c>
      <c r="B140" s="3" t="str">
        <f t="shared" si="22"/>
        <v>6,33,45,62,4</v>
      </c>
      <c r="C140" s="3">
        <v>6.3</v>
      </c>
      <c r="D140" s="3">
        <v>3.4</v>
      </c>
      <c r="E140" s="3">
        <v>5.6</v>
      </c>
      <c r="F140" s="3">
        <v>2.4</v>
      </c>
      <c r="G140" s="5">
        <v>2</v>
      </c>
      <c r="H140" s="2" t="s">
        <v>7</v>
      </c>
    </row>
    <row r="141" spans="1:8" x14ac:dyDescent="0.3">
      <c r="A141" s="2">
        <v>137</v>
      </c>
      <c r="B141" s="3" t="str">
        <f t="shared" si="22"/>
        <v>6,43,15,51,8</v>
      </c>
      <c r="C141" s="3">
        <v>6.4</v>
      </c>
      <c r="D141" s="3">
        <v>3.1</v>
      </c>
      <c r="E141" s="3">
        <v>5.5</v>
      </c>
      <c r="F141" s="3">
        <v>1.8</v>
      </c>
      <c r="G141" s="5">
        <v>2</v>
      </c>
      <c r="H141" s="2" t="s">
        <v>7</v>
      </c>
    </row>
    <row r="142" spans="1:8" x14ac:dyDescent="0.3">
      <c r="A142" s="2">
        <v>138</v>
      </c>
      <c r="B142" s="3" t="str">
        <f t="shared" si="22"/>
        <v>634,81,8</v>
      </c>
      <c r="C142" s="3">
        <v>6</v>
      </c>
      <c r="D142" s="3">
        <v>3</v>
      </c>
      <c r="E142" s="3">
        <v>4.8</v>
      </c>
      <c r="F142" s="3">
        <v>1.8</v>
      </c>
      <c r="G142" s="5">
        <v>2</v>
      </c>
      <c r="H142" s="2" t="s">
        <v>7</v>
      </c>
    </row>
    <row r="143" spans="1:8" x14ac:dyDescent="0.3">
      <c r="A143" s="2">
        <v>139</v>
      </c>
      <c r="B143" s="3" t="str">
        <f t="shared" si="22"/>
        <v>6,93,15,42,1</v>
      </c>
      <c r="C143" s="3">
        <v>6.9</v>
      </c>
      <c r="D143" s="3">
        <v>3.1</v>
      </c>
      <c r="E143" s="3">
        <v>5.4</v>
      </c>
      <c r="F143" s="3">
        <v>2.1</v>
      </c>
      <c r="G143" s="5">
        <v>2</v>
      </c>
      <c r="H143" s="2" t="s">
        <v>7</v>
      </c>
    </row>
    <row r="144" spans="1:8" x14ac:dyDescent="0.3">
      <c r="A144" s="2">
        <v>140</v>
      </c>
      <c r="B144" s="3" t="str">
        <f t="shared" si="22"/>
        <v>6,73,15,62,4</v>
      </c>
      <c r="C144" s="3">
        <v>6.7</v>
      </c>
      <c r="D144" s="3">
        <v>3.1</v>
      </c>
      <c r="E144" s="3">
        <v>5.6</v>
      </c>
      <c r="F144" s="3">
        <v>2.4</v>
      </c>
      <c r="G144" s="5">
        <v>2</v>
      </c>
      <c r="H144" s="2" t="s">
        <v>7</v>
      </c>
    </row>
    <row r="145" spans="1:8" x14ac:dyDescent="0.3">
      <c r="A145" s="2">
        <v>141</v>
      </c>
      <c r="B145" s="3" t="str">
        <f t="shared" si="22"/>
        <v>6,93,15,12,3</v>
      </c>
      <c r="C145" s="3">
        <v>6.9</v>
      </c>
      <c r="D145" s="3">
        <v>3.1</v>
      </c>
      <c r="E145" s="3">
        <v>5.0999999999999996</v>
      </c>
      <c r="F145" s="3">
        <v>2.2999999999999998</v>
      </c>
      <c r="G145" s="5">
        <v>2</v>
      </c>
      <c r="H145" s="2" t="s">
        <v>7</v>
      </c>
    </row>
    <row r="146" spans="1:8" x14ac:dyDescent="0.3">
      <c r="A146" s="2">
        <v>142</v>
      </c>
      <c r="B146" s="3" t="str">
        <f t="shared" si="22"/>
        <v>5,82,75,11,9</v>
      </c>
      <c r="C146" s="3">
        <v>5.8</v>
      </c>
      <c r="D146" s="3">
        <v>2.7</v>
      </c>
      <c r="E146" s="3">
        <v>5.0999999999999996</v>
      </c>
      <c r="F146" s="3">
        <v>1.9</v>
      </c>
      <c r="G146" s="5">
        <v>2</v>
      </c>
      <c r="H146" s="2" t="s">
        <v>7</v>
      </c>
    </row>
    <row r="147" spans="1:8" x14ac:dyDescent="0.3">
      <c r="A147" s="2">
        <v>143</v>
      </c>
      <c r="B147" s="3" t="str">
        <f t="shared" si="22"/>
        <v>6,83,25,92,3</v>
      </c>
      <c r="C147" s="3">
        <v>6.8</v>
      </c>
      <c r="D147" s="3">
        <v>3.2</v>
      </c>
      <c r="E147" s="3">
        <v>5.9</v>
      </c>
      <c r="F147" s="3">
        <v>2.2999999999999998</v>
      </c>
      <c r="G147" s="5">
        <v>2</v>
      </c>
      <c r="H147" s="2" t="s">
        <v>7</v>
      </c>
    </row>
    <row r="148" spans="1:8" x14ac:dyDescent="0.3">
      <c r="A148" s="2">
        <v>144</v>
      </c>
      <c r="B148" s="3" t="str">
        <f t="shared" si="22"/>
        <v>6,73,35,72,5</v>
      </c>
      <c r="C148" s="3">
        <v>6.7</v>
      </c>
      <c r="D148" s="3">
        <v>3.3</v>
      </c>
      <c r="E148" s="3">
        <v>5.7</v>
      </c>
      <c r="F148" s="3">
        <v>2.5</v>
      </c>
      <c r="G148" s="5">
        <v>2</v>
      </c>
      <c r="H148" s="2" t="s">
        <v>7</v>
      </c>
    </row>
    <row r="149" spans="1:8" x14ac:dyDescent="0.3">
      <c r="A149" s="2">
        <v>145</v>
      </c>
      <c r="B149" s="3" t="str">
        <f t="shared" si="22"/>
        <v>6,735,22,3</v>
      </c>
      <c r="C149" s="3">
        <v>6.7</v>
      </c>
      <c r="D149" s="3">
        <v>3</v>
      </c>
      <c r="E149" s="3">
        <v>5.2</v>
      </c>
      <c r="F149" s="3">
        <v>2.2999999999999998</v>
      </c>
      <c r="G149" s="5">
        <v>2</v>
      </c>
      <c r="H149" s="2" t="s">
        <v>7</v>
      </c>
    </row>
    <row r="150" spans="1:8" x14ac:dyDescent="0.3">
      <c r="A150" s="2">
        <v>146</v>
      </c>
      <c r="B150" s="3" t="str">
        <f t="shared" si="22"/>
        <v>6,32,551,9</v>
      </c>
      <c r="C150" s="3">
        <v>6.3</v>
      </c>
      <c r="D150" s="3">
        <v>2.5</v>
      </c>
      <c r="E150" s="3">
        <v>5</v>
      </c>
      <c r="F150" s="3">
        <v>1.9</v>
      </c>
      <c r="G150" s="5">
        <v>2</v>
      </c>
      <c r="H150" s="2" t="s">
        <v>7</v>
      </c>
    </row>
    <row r="151" spans="1:8" x14ac:dyDescent="0.3">
      <c r="A151" s="2">
        <v>147</v>
      </c>
      <c r="B151" s="3" t="str">
        <f t="shared" si="22"/>
        <v>6,535,22</v>
      </c>
      <c r="C151" s="3">
        <v>6.5</v>
      </c>
      <c r="D151" s="3">
        <v>3</v>
      </c>
      <c r="E151" s="3">
        <v>5.2</v>
      </c>
      <c r="F151" s="3">
        <v>2</v>
      </c>
      <c r="G151" s="5">
        <v>2</v>
      </c>
      <c r="H151" s="2" t="s">
        <v>7</v>
      </c>
    </row>
    <row r="152" spans="1:8" x14ac:dyDescent="0.3">
      <c r="A152" s="2">
        <v>148</v>
      </c>
      <c r="B152" s="3" t="str">
        <f t="shared" si="22"/>
        <v>6,23,45,42,3</v>
      </c>
      <c r="C152" s="3">
        <v>6.2</v>
      </c>
      <c r="D152" s="3">
        <v>3.4</v>
      </c>
      <c r="E152" s="3">
        <v>5.4</v>
      </c>
      <c r="F152" s="3">
        <v>2.2999999999999998</v>
      </c>
      <c r="G152" s="5">
        <v>2</v>
      </c>
      <c r="H152" s="2" t="s">
        <v>7</v>
      </c>
    </row>
    <row r="153" spans="1:8" x14ac:dyDescent="0.3">
      <c r="A153" s="2">
        <v>149</v>
      </c>
      <c r="B153" s="3" t="str">
        <f t="shared" si="22"/>
        <v>5,935,11,8</v>
      </c>
      <c r="C153" s="3">
        <v>5.9</v>
      </c>
      <c r="D153" s="3">
        <v>3</v>
      </c>
      <c r="E153" s="3">
        <v>5.0999999999999996</v>
      </c>
      <c r="F153" s="3">
        <v>1.8</v>
      </c>
      <c r="G153" s="5">
        <v>2</v>
      </c>
      <c r="H153" s="2" t="s">
        <v>7</v>
      </c>
    </row>
  </sheetData>
  <sortState xmlns:xlrd2="http://schemas.microsoft.com/office/spreadsheetml/2017/richdata2" ref="X4:Y108">
    <sortCondition ref="X4"/>
  </sortState>
  <mergeCells count="22">
    <mergeCell ref="AL2:AL3"/>
    <mergeCell ref="F2:F3"/>
    <mergeCell ref="J2:J3"/>
    <mergeCell ref="O2:O3"/>
    <mergeCell ref="AE2:AE3"/>
    <mergeCell ref="M2:M3"/>
    <mergeCell ref="N2:N3"/>
    <mergeCell ref="AJ2:AJ3"/>
    <mergeCell ref="AK2:AK3"/>
    <mergeCell ref="AD2:AD3"/>
    <mergeCell ref="AF2:AF3"/>
    <mergeCell ref="AG2:AG3"/>
    <mergeCell ref="AH2:AH3"/>
    <mergeCell ref="AI2:AI3"/>
    <mergeCell ref="A2:A3"/>
    <mergeCell ref="H2:H3"/>
    <mergeCell ref="G2:G3"/>
    <mergeCell ref="K2:K3"/>
    <mergeCell ref="L2:L3"/>
    <mergeCell ref="C2:C3"/>
    <mergeCell ref="D2:D3"/>
    <mergeCell ref="E2:E3"/>
  </mergeCells>
  <conditionalFormatting sqref="AD4:AD48">
    <cfRule type="cellIs" dxfId="1" priority="2" operator="notEqual">
      <formula>" "</formula>
    </cfRule>
  </conditionalFormatting>
  <conditionalFormatting sqref="AO4:AO48">
    <cfRule type="cellIs" dxfId="0" priority="1" operator="equal">
      <formula>"OK"</formula>
    </cfRule>
  </conditionalFormatting>
  <dataValidations count="1">
    <dataValidation type="list" allowBlank="1" showInputMessage="1" showErrorMessage="1" sqref="U3" xr:uid="{53AF7496-FF19-4ADF-B4AF-5AE99741B8D5}">
      <formula1>"L1,L2"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0F607-AE00-4046-85E7-4BFA998E35E1}">
  <dimension ref="A1:E13"/>
  <sheetViews>
    <sheetView workbookViewId="0">
      <selection activeCell="A5" sqref="A5"/>
    </sheetView>
  </sheetViews>
  <sheetFormatPr defaultRowHeight="14.4" x14ac:dyDescent="0.3"/>
  <cols>
    <col min="1" max="1" width="23.77734375" bestFit="1" customWidth="1"/>
    <col min="2" max="2" width="3.21875" customWidth="1"/>
    <col min="3" max="3" width="23.77734375" bestFit="1" customWidth="1"/>
    <col min="5" max="5" width="15.5546875" bestFit="1" customWidth="1"/>
  </cols>
  <sheetData>
    <row r="1" spans="1:5" x14ac:dyDescent="0.3">
      <c r="A1" s="10" t="s">
        <v>30</v>
      </c>
      <c r="C1" s="10" t="s">
        <v>29</v>
      </c>
    </row>
    <row r="2" spans="1:5" x14ac:dyDescent="0.3">
      <c r="A2" t="s">
        <v>18</v>
      </c>
      <c r="C2" t="s">
        <v>18</v>
      </c>
    </row>
    <row r="3" spans="1:5" x14ac:dyDescent="0.3">
      <c r="A3" t="s">
        <v>19</v>
      </c>
      <c r="C3" t="s">
        <v>19</v>
      </c>
      <c r="D3" s="9" t="b">
        <f>C3=A3</f>
        <v>1</v>
      </c>
      <c r="E3" s="11" t="s">
        <v>31</v>
      </c>
    </row>
    <row r="4" spans="1:5" x14ac:dyDescent="0.3">
      <c r="A4" t="s">
        <v>20</v>
      </c>
      <c r="C4" t="s">
        <v>20</v>
      </c>
      <c r="D4" s="9" t="b">
        <f>C4=A4</f>
        <v>1</v>
      </c>
      <c r="E4" s="11" t="s">
        <v>31</v>
      </c>
    </row>
    <row r="5" spans="1:5" x14ac:dyDescent="0.3">
      <c r="A5" t="s">
        <v>21</v>
      </c>
      <c r="C5" t="s">
        <v>21</v>
      </c>
      <c r="D5" s="9" t="b">
        <f>C5=A5</f>
        <v>1</v>
      </c>
      <c r="E5" s="11" t="s">
        <v>31</v>
      </c>
    </row>
    <row r="6" spans="1:5" x14ac:dyDescent="0.3">
      <c r="A6" t="s">
        <v>22</v>
      </c>
      <c r="C6" t="s">
        <v>22</v>
      </c>
      <c r="D6" s="9" t="b">
        <f>C6=A6</f>
        <v>1</v>
      </c>
      <c r="E6" s="11" t="s">
        <v>31</v>
      </c>
    </row>
    <row r="7" spans="1:5" x14ac:dyDescent="0.3">
      <c r="A7" t="s">
        <v>23</v>
      </c>
      <c r="C7" t="s">
        <v>23</v>
      </c>
      <c r="D7" s="9" t="b">
        <f>C7=A7</f>
        <v>1</v>
      </c>
      <c r="E7" s="11" t="s">
        <v>31</v>
      </c>
    </row>
    <row r="8" spans="1:5" x14ac:dyDescent="0.3">
      <c r="D8" s="9"/>
      <c r="E8" s="11"/>
    </row>
    <row r="9" spans="1:5" x14ac:dyDescent="0.3">
      <c r="A9" t="s">
        <v>24</v>
      </c>
      <c r="C9" t="s">
        <v>24</v>
      </c>
      <c r="D9" s="9" t="b">
        <f>C9=A9</f>
        <v>1</v>
      </c>
      <c r="E9" s="11" t="s">
        <v>32</v>
      </c>
    </row>
    <row r="10" spans="1:5" x14ac:dyDescent="0.3">
      <c r="A10" t="s">
        <v>25</v>
      </c>
      <c r="C10" t="s">
        <v>25</v>
      </c>
      <c r="D10" s="9" t="b">
        <f>C10=A10</f>
        <v>1</v>
      </c>
      <c r="E10" s="11" t="s">
        <v>32</v>
      </c>
    </row>
    <row r="11" spans="1:5" x14ac:dyDescent="0.3">
      <c r="A11" t="s">
        <v>26</v>
      </c>
      <c r="C11" t="s">
        <v>26</v>
      </c>
      <c r="D11" s="9" t="b">
        <f>C11=A11</f>
        <v>1</v>
      </c>
      <c r="E11" s="11" t="s">
        <v>32</v>
      </c>
    </row>
    <row r="12" spans="1:5" x14ac:dyDescent="0.3">
      <c r="A12" t="s">
        <v>27</v>
      </c>
      <c r="C12" t="s">
        <v>27</v>
      </c>
      <c r="D12" s="9" t="b">
        <f>C12=A12</f>
        <v>1</v>
      </c>
      <c r="E12" s="11" t="s">
        <v>32</v>
      </c>
    </row>
    <row r="13" spans="1:5" x14ac:dyDescent="0.3">
      <c r="A13" t="s">
        <v>28</v>
      </c>
      <c r="C13" t="s">
        <v>28</v>
      </c>
      <c r="D13" s="9" t="b">
        <f>C13=A13</f>
        <v>1</v>
      </c>
      <c r="E13" s="1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KNN</vt:lpstr>
      <vt:lpstr>L1 e 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Horita</dc:creator>
  <cp:lastModifiedBy>Marcelo Horita</cp:lastModifiedBy>
  <dcterms:created xsi:type="dcterms:W3CDTF">2019-11-24T21:07:33Z</dcterms:created>
  <dcterms:modified xsi:type="dcterms:W3CDTF">2025-12-08T00:12:46Z</dcterms:modified>
</cp:coreProperties>
</file>